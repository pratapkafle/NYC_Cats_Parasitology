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tudentsrowan.sharepoint.com/sites/KafleLab/Shared Documents/Active projects/Feral cats/Sample data/Raw Datasets/"/>
    </mc:Choice>
  </mc:AlternateContent>
  <xr:revisionPtr revIDLastSave="9" documentId="11_FDF1EA43E34DE6547016F174F755C638A48630CB" xr6:coauthVersionLast="47" xr6:coauthVersionMax="47" xr10:uidLastSave="{27717BAC-A8C5-4AE1-AF4B-F5B2ADE3BFF3}"/>
  <bookViews>
    <workbookView xWindow="-110" yWindow="-110" windowWidth="38620" windowHeight="21100" xr2:uid="{00000000-000D-0000-FFFF-FFFF00000000}"/>
  </bookViews>
  <sheets>
    <sheet name="Sugar flotation" sheetId="1" r:id="rId1"/>
    <sheet name="Urine" sheetId="2" r:id="rId2"/>
    <sheet name="Blood 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" i="1" l="1"/>
  <c r="F78" i="1"/>
  <c r="J100" i="1"/>
  <c r="H100" i="1"/>
  <c r="F100" i="1"/>
  <c r="J99" i="1"/>
  <c r="H99" i="1"/>
  <c r="F99" i="1"/>
  <c r="J98" i="1"/>
  <c r="H98" i="1"/>
  <c r="F98" i="1"/>
  <c r="J97" i="1"/>
  <c r="H97" i="1"/>
  <c r="F97" i="1"/>
  <c r="J95" i="1"/>
  <c r="H95" i="1"/>
  <c r="F95" i="1"/>
  <c r="J94" i="1"/>
  <c r="H94" i="1"/>
  <c r="F94" i="1"/>
  <c r="J93" i="1"/>
  <c r="H93" i="1"/>
  <c r="F93" i="1"/>
  <c r="J92" i="1"/>
  <c r="H92" i="1"/>
  <c r="F92" i="1"/>
  <c r="J91" i="1"/>
  <c r="H91" i="1"/>
  <c r="F91" i="1"/>
  <c r="J90" i="1"/>
  <c r="H90" i="1"/>
  <c r="F90" i="1"/>
  <c r="J89" i="1"/>
  <c r="H89" i="1"/>
  <c r="F89" i="1"/>
  <c r="J88" i="1"/>
  <c r="H88" i="1"/>
  <c r="F88" i="1"/>
  <c r="J87" i="1"/>
  <c r="H87" i="1"/>
  <c r="F87" i="1"/>
  <c r="J82" i="1"/>
  <c r="H82" i="1"/>
  <c r="F82" i="1"/>
  <c r="J81" i="1"/>
  <c r="H81" i="1"/>
  <c r="F81" i="1"/>
  <c r="J76" i="1"/>
  <c r="H76" i="1"/>
  <c r="F76" i="1"/>
  <c r="J75" i="1"/>
  <c r="H75" i="1"/>
  <c r="F75" i="1"/>
  <c r="J74" i="1"/>
  <c r="H74" i="1"/>
  <c r="F74" i="1"/>
  <c r="J73" i="1"/>
  <c r="H73" i="1"/>
  <c r="F73" i="1"/>
  <c r="J72" i="1"/>
  <c r="H72" i="1"/>
  <c r="F72" i="1"/>
  <c r="J70" i="1"/>
  <c r="H70" i="1"/>
  <c r="F70" i="1"/>
  <c r="J69" i="1"/>
  <c r="H69" i="1"/>
  <c r="F69" i="1"/>
  <c r="J68" i="1"/>
  <c r="H68" i="1"/>
  <c r="F68" i="1"/>
  <c r="J67" i="1"/>
  <c r="H67" i="1"/>
  <c r="F67" i="1"/>
  <c r="J66" i="1"/>
  <c r="H66" i="1"/>
  <c r="F66" i="1"/>
  <c r="J65" i="1"/>
  <c r="H65" i="1"/>
  <c r="F65" i="1"/>
  <c r="J63" i="1"/>
  <c r="H63" i="1"/>
  <c r="F63" i="1"/>
  <c r="J62" i="1"/>
  <c r="H62" i="1"/>
  <c r="F62" i="1"/>
  <c r="J61" i="1"/>
  <c r="H61" i="1"/>
  <c r="F61" i="1"/>
  <c r="J60" i="1"/>
  <c r="H60" i="1"/>
  <c r="F60" i="1"/>
  <c r="J59" i="1"/>
  <c r="H59" i="1"/>
  <c r="F59" i="1"/>
  <c r="J58" i="1"/>
  <c r="H58" i="1"/>
  <c r="F58" i="1"/>
  <c r="J57" i="1"/>
  <c r="H57" i="1"/>
  <c r="F57" i="1"/>
  <c r="J56" i="1"/>
  <c r="H56" i="1"/>
  <c r="F56" i="1"/>
  <c r="J55" i="1"/>
  <c r="H55" i="1"/>
  <c r="F55" i="1"/>
  <c r="J54" i="1"/>
  <c r="H54" i="1"/>
  <c r="F54" i="1"/>
  <c r="J53" i="1"/>
  <c r="H53" i="1"/>
  <c r="F53" i="1"/>
  <c r="J52" i="1"/>
  <c r="H52" i="1"/>
  <c r="F52" i="1"/>
  <c r="J51" i="1"/>
  <c r="H51" i="1"/>
  <c r="F51" i="1"/>
  <c r="J50" i="1"/>
  <c r="H50" i="1"/>
  <c r="F50" i="1"/>
  <c r="J48" i="1"/>
  <c r="H48" i="1"/>
  <c r="F48" i="1"/>
  <c r="J47" i="1"/>
  <c r="H47" i="1"/>
  <c r="F47" i="1"/>
  <c r="J46" i="1"/>
  <c r="H46" i="1"/>
  <c r="F46" i="1"/>
  <c r="J45" i="1"/>
  <c r="H45" i="1"/>
  <c r="F45" i="1"/>
  <c r="J44" i="1"/>
  <c r="H44" i="1"/>
  <c r="F44" i="1"/>
  <c r="J43" i="1"/>
  <c r="H43" i="1"/>
  <c r="F43" i="1"/>
  <c r="J42" i="1"/>
  <c r="H42" i="1"/>
  <c r="F42" i="1"/>
  <c r="J41" i="1"/>
  <c r="H41" i="1"/>
  <c r="F41" i="1"/>
  <c r="J40" i="1"/>
  <c r="H40" i="1"/>
  <c r="F40" i="1"/>
  <c r="J39" i="1"/>
  <c r="H39" i="1"/>
  <c r="F39" i="1"/>
  <c r="J38" i="1"/>
  <c r="H38" i="1"/>
  <c r="F38" i="1"/>
  <c r="J37" i="1"/>
  <c r="H37" i="1"/>
  <c r="F37" i="1"/>
  <c r="J36" i="1"/>
  <c r="H36" i="1"/>
  <c r="F36" i="1"/>
  <c r="J35" i="1"/>
  <c r="H35" i="1"/>
  <c r="F35" i="1"/>
  <c r="J34" i="1"/>
  <c r="H34" i="1"/>
  <c r="F34" i="1"/>
  <c r="J33" i="1"/>
  <c r="H33" i="1"/>
  <c r="F33" i="1"/>
  <c r="J32" i="1"/>
  <c r="H32" i="1"/>
  <c r="F32" i="1"/>
  <c r="J31" i="1"/>
  <c r="H31" i="1"/>
  <c r="F31" i="1"/>
  <c r="J30" i="1"/>
  <c r="H30" i="1"/>
  <c r="F30" i="1"/>
  <c r="J29" i="1"/>
  <c r="H29" i="1"/>
  <c r="F29" i="1"/>
  <c r="J28" i="1"/>
  <c r="H28" i="1"/>
  <c r="F28" i="1"/>
  <c r="J26" i="1"/>
  <c r="H26" i="1"/>
  <c r="F26" i="1"/>
  <c r="J25" i="1"/>
  <c r="H25" i="1"/>
  <c r="F25" i="1"/>
  <c r="J24" i="1"/>
  <c r="H24" i="1"/>
  <c r="F24" i="1"/>
  <c r="J23" i="1"/>
  <c r="H23" i="1"/>
  <c r="F23" i="1"/>
  <c r="J22" i="1"/>
  <c r="H22" i="1"/>
  <c r="F22" i="1"/>
  <c r="J21" i="1"/>
  <c r="H21" i="1"/>
  <c r="F21" i="1"/>
  <c r="J20" i="1"/>
  <c r="H20" i="1"/>
  <c r="F20" i="1"/>
  <c r="J19" i="1"/>
  <c r="H19" i="1"/>
  <c r="F19" i="1"/>
  <c r="J18" i="1"/>
  <c r="H18" i="1"/>
  <c r="F18" i="1"/>
  <c r="J17" i="1"/>
  <c r="H17" i="1"/>
  <c r="F17" i="1"/>
  <c r="J16" i="1"/>
  <c r="H16" i="1"/>
  <c r="F16" i="1"/>
  <c r="J15" i="1"/>
  <c r="H15" i="1"/>
  <c r="F15" i="1"/>
  <c r="J14" i="1"/>
  <c r="H14" i="1"/>
  <c r="F14" i="1"/>
  <c r="J12" i="1"/>
  <c r="H12" i="1"/>
  <c r="F12" i="1"/>
  <c r="J11" i="1"/>
  <c r="H11" i="1"/>
  <c r="F11" i="1"/>
  <c r="J10" i="1"/>
  <c r="H10" i="1"/>
  <c r="F10" i="1"/>
  <c r="J9" i="1"/>
  <c r="H9" i="1"/>
  <c r="F9" i="1"/>
  <c r="J8" i="1"/>
  <c r="H8" i="1"/>
  <c r="F8" i="1"/>
  <c r="J7" i="1"/>
  <c r="H7" i="1"/>
  <c r="F7" i="1"/>
  <c r="J6" i="1"/>
  <c r="H6" i="1"/>
  <c r="F6" i="1"/>
  <c r="J5" i="1"/>
  <c r="H5" i="1"/>
  <c r="F5" i="1"/>
  <c r="J4" i="1"/>
  <c r="H4" i="1"/>
  <c r="F4" i="1"/>
  <c r="J3" i="1"/>
  <c r="H3" i="1"/>
  <c r="F3" i="1"/>
  <c r="J2" i="1"/>
  <c r="H2" i="1"/>
  <c r="F2" i="1"/>
</calcChain>
</file>

<file path=xl/sharedStrings.xml><?xml version="1.0" encoding="utf-8"?>
<sst xmlns="http://schemas.openxmlformats.org/spreadsheetml/2006/main" count="255" uniqueCount="186">
  <si>
    <t>PLID</t>
  </si>
  <si>
    <t>Aimal ID</t>
  </si>
  <si>
    <t>Analysis date</t>
  </si>
  <si>
    <t>Fecal wt.</t>
  </si>
  <si>
    <t>Roundworms</t>
  </si>
  <si>
    <t>Roundworm epg</t>
  </si>
  <si>
    <t>Hookworms</t>
  </si>
  <si>
    <t>hooks epg</t>
  </si>
  <si>
    <t>Coccidia</t>
  </si>
  <si>
    <t>coccidia epg</t>
  </si>
  <si>
    <t>Whipworms</t>
  </si>
  <si>
    <t xml:space="preserve">Nematode Larvae </t>
  </si>
  <si>
    <t xml:space="preserve">Leaf-like unknow </t>
  </si>
  <si>
    <t>Notes</t>
  </si>
  <si>
    <t>F1</t>
  </si>
  <si>
    <t>F2</t>
  </si>
  <si>
    <t>F3</t>
  </si>
  <si>
    <t>F4</t>
  </si>
  <si>
    <t xml:space="preserve">non-parastic nematode larvae; sporulated cysto-isospora  </t>
  </si>
  <si>
    <t>F5</t>
  </si>
  <si>
    <t>F6</t>
  </si>
  <si>
    <t>F7</t>
  </si>
  <si>
    <t xml:space="preserve">Immature Toxo </t>
  </si>
  <si>
    <t>F8</t>
  </si>
  <si>
    <t>F9</t>
  </si>
  <si>
    <t>non-parastic nematode larvae</t>
  </si>
  <si>
    <t>F10</t>
  </si>
  <si>
    <t>F11</t>
  </si>
  <si>
    <t xml:space="preserve">No Fecal Sample </t>
  </si>
  <si>
    <t>F12</t>
  </si>
  <si>
    <t>F13</t>
  </si>
  <si>
    <t>F14</t>
  </si>
  <si>
    <t>F15</t>
  </si>
  <si>
    <t>F16</t>
  </si>
  <si>
    <t>Not Enough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</si>
  <si>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</si>
  <si>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</si>
  <si>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</si>
  <si>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</si>
  <si>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</si>
  <si>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</si>
  <si>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</si>
  <si>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</si>
  <si>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</si>
  <si>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</si>
  <si>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</si>
  <si>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</si>
  <si>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Mature: 61   Immature 36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</si>
  <si>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</si>
  <si>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</si>
  <si>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</si>
  <si>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</si>
  <si>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</si>
  <si>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</si>
  <si>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</si>
  <si>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</si>
  <si>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</si>
  <si>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</si>
  <si>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</si>
  <si>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</si>
  <si>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</si>
  <si>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</si>
  <si>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</si>
  <si>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Immature Toxo</t>
  </si>
  <si>
    <t>F44</t>
  </si>
  <si>
    <t>F45</t>
  </si>
  <si>
    <t>F46</t>
  </si>
  <si>
    <t>.</t>
  </si>
  <si>
    <t>F47</t>
  </si>
  <si>
    <t>5 Immature Toxo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</si>
  <si>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</si>
  <si>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</si>
  <si>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</si>
  <si>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</si>
  <si>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</si>
  <si>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</si>
  <si>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</si>
  <si>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</si>
  <si>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</si>
  <si>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</si>
  <si>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</si>
  <si>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</si>
  <si>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</si>
  <si>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</si>
  <si>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</si>
  <si>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</si>
  <si>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</si>
  <si>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</si>
  <si>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</si>
  <si>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</si>
  <si>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</si>
  <si>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</si>
  <si>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</si>
  <si>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</si>
  <si>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Fecal left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</si>
  <si>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</si>
  <si>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</si>
  <si>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</si>
  <si>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</si>
  <si>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</si>
  <si>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</si>
  <si>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</si>
  <si>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</si>
  <si>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</si>
  <si>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Not directly weighed because in small yellow-lipped bag</t>
  </si>
  <si>
    <t>F81</t>
  </si>
  <si>
    <t>No Fecal Sample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</si>
  <si>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</si>
  <si>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</si>
  <si>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</si>
  <si>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</si>
  <si>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</si>
  <si>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</si>
  <si>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</si>
  <si>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</si>
  <si>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</si>
  <si>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</si>
  <si>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</si>
  <si>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</si>
  <si>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</si>
  <si>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</si>
  <si>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</si>
  <si>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</si>
  <si>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</si>
  <si>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</si>
  <si>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 xml:space="preserve">Urine Wt. </t>
  </si>
  <si>
    <t xml:space="preserve">Capillaria spp. </t>
  </si>
  <si>
    <t xml:space="preserve">Note </t>
  </si>
  <si>
    <t xml:space="preserve">No Urine Sample </t>
  </si>
  <si>
    <t>U1</t>
  </si>
  <si>
    <t>U2</t>
  </si>
  <si>
    <t>~1-2 mL</t>
  </si>
  <si>
    <t xml:space="preserve">Nothing 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</si>
  <si>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</si>
  <si>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</si>
  <si>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</si>
  <si>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</si>
  <si>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</si>
  <si>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</si>
  <si>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</si>
  <si>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</si>
  <si>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</si>
  <si>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</si>
  <si>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</si>
  <si>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</si>
  <si>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</si>
  <si>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</si>
  <si>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</si>
  <si>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</si>
  <si>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</si>
  <si>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</si>
  <si>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</si>
  <si>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</si>
  <si>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</si>
  <si>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 xml:space="preserve">Tail-like something - 5 </t>
  </si>
  <si>
    <t>U24</t>
  </si>
  <si>
    <t>U25</t>
  </si>
  <si>
    <t>Non-parastite protozoa - 1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</si>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</sst>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5"/>
      <color rgb="FF111111"/>
      <name val="Roboto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2" borderId="0" xfId="0" applyFont="1" applyFill="1"/>
    <xf numFmtId="164" fontId="1" fillId="2" borderId="0" xfId="0" applyNumberFormat="1" applyFont="1" applyFill="1"/>
    <xf numFmtId="2" fontId="1" fillId="3" borderId="0" xfId="0" applyNumberFormat="1" applyFont="1" applyFill="1"/>
    <xf numFmtId="0" fontId="1" fillId="2" borderId="0" xfId="0" applyFont="1" applyFill="1" applyAlignment="1">
      <alignment horizontal="right"/>
    </xf>
    <xf numFmtId="164" fontId="1" fillId="0" borderId="0" xfId="0" applyNumberFormat="1" applyFont="1"/>
    <xf numFmtId="0" fontId="1" fillId="4" borderId="0" xfId="0" applyFont="1" applyFill="1"/>
    <xf numFmtId="164" fontId="1" fillId="4" borderId="0" xfId="0" applyNumberFormat="1" applyFont="1" applyFill="1"/>
    <xf numFmtId="2" fontId="1" fillId="4" borderId="0" xfId="0" applyNumberFormat="1" applyFont="1" applyFill="1"/>
    <xf numFmtId="0" fontId="1" fillId="5" borderId="0" xfId="0" applyFont="1" applyFill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2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102"/>
  <sheetViews>
    <sheetView tabSelected="1" zoomScaleNormal="100" workbookViewId="0">
      <pane ySplit="1" topLeftCell="A2" activePane="bottomLeft" state="frozen"/>
      <selection pane="bottomLeft" activeCell="D1" sqref="D1:D1048576"/>
    </sheetView>
  </sheetViews>
  <sheetFormatPr defaultColWidth="12.54296875" defaultRowHeight="15.75" customHeight="1" x14ac:dyDescent="0.25"/>
  <cols>
    <col min="1" max="1" width="14.26953125" customWidth="1"/>
    <col min="3" max="3" width="15.453125" customWidth="1"/>
    <col min="6" max="6" width="16.08984375" customWidth="1"/>
    <col min="12" max="12" width="13.7265625" customWidth="1"/>
    <col min="13" max="13" width="13.54296875" customWidth="1"/>
    <col min="16" max="16" width="35.1796875" customWidth="1"/>
  </cols>
  <sheetData>
    <row r="1" spans="1:2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P1" s="1" t="s">
        <v>13</v>
      </c>
    </row>
    <row r="2" spans="1:29" ht="15.75" customHeight="1" x14ac:dyDescent="0.25">
      <c r="A2" s="3">
        <v>12</v>
      </c>
      <c r="B2" s="3" t="s">
        <v>14</v>
      </c>
      <c r="C2" s="4">
        <v>45058</v>
      </c>
      <c r="D2" s="3">
        <v>1.42</v>
      </c>
      <c r="E2" s="3">
        <v>7</v>
      </c>
      <c r="F2" s="5">
        <f t="shared" ref="F2:F12" si="0">E2/D2</f>
        <v>4.9295774647887329</v>
      </c>
      <c r="G2" s="3"/>
      <c r="H2" s="5">
        <f t="shared" ref="H2:H12" si="1">G2/D2</f>
        <v>0</v>
      </c>
      <c r="I2" s="3">
        <v>6</v>
      </c>
      <c r="J2" s="5">
        <f t="shared" ref="J2:J12" si="2">I2/D2</f>
        <v>4.2253521126760569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25">
      <c r="A3" s="3"/>
      <c r="B3" s="3" t="s">
        <v>15</v>
      </c>
      <c r="C3" s="4">
        <v>45058</v>
      </c>
      <c r="D3" s="3">
        <v>1.1499999999999999</v>
      </c>
      <c r="E3" s="3">
        <v>902</v>
      </c>
      <c r="F3" s="5">
        <f t="shared" si="0"/>
        <v>784.34782608695662</v>
      </c>
      <c r="G3" s="3">
        <v>284</v>
      </c>
      <c r="H3" s="5">
        <f t="shared" si="1"/>
        <v>246.95652173913047</v>
      </c>
      <c r="I3" s="3"/>
      <c r="J3" s="5">
        <f t="shared" si="2"/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25">
      <c r="A4" s="3"/>
      <c r="B4" s="3" t="s">
        <v>16</v>
      </c>
      <c r="C4" s="4">
        <v>45061</v>
      </c>
      <c r="D4" s="3">
        <v>0.24</v>
      </c>
      <c r="E4" s="3">
        <v>99</v>
      </c>
      <c r="F4" s="5">
        <f t="shared" si="0"/>
        <v>412.5</v>
      </c>
      <c r="G4" s="3">
        <v>6</v>
      </c>
      <c r="H4" s="5">
        <f t="shared" si="1"/>
        <v>25</v>
      </c>
      <c r="I4" s="3"/>
      <c r="J4" s="5">
        <f t="shared" si="2"/>
        <v>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25">
      <c r="A5" s="3"/>
      <c r="B5" s="3" t="s">
        <v>17</v>
      </c>
      <c r="C5" s="4">
        <v>45061</v>
      </c>
      <c r="D5" s="3">
        <v>1.1000000000000001</v>
      </c>
      <c r="E5" s="6">
        <v>1384</v>
      </c>
      <c r="F5" s="5">
        <f t="shared" si="0"/>
        <v>1258.181818181818</v>
      </c>
      <c r="G5" s="3"/>
      <c r="H5" s="5">
        <f t="shared" si="1"/>
        <v>0</v>
      </c>
      <c r="I5" s="3">
        <v>129</v>
      </c>
      <c r="J5" s="5">
        <f t="shared" si="2"/>
        <v>117.27272727272727</v>
      </c>
      <c r="K5" s="3"/>
      <c r="L5" s="3">
        <v>3</v>
      </c>
      <c r="M5" s="3"/>
      <c r="N5" s="3"/>
      <c r="O5" s="3"/>
      <c r="P5" s="3" t="s">
        <v>18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25">
      <c r="A6" s="3"/>
      <c r="B6" s="3" t="s">
        <v>19</v>
      </c>
      <c r="C6" s="4">
        <v>45061</v>
      </c>
      <c r="D6" s="3">
        <v>1.42</v>
      </c>
      <c r="E6" s="3">
        <v>1</v>
      </c>
      <c r="F6" s="5">
        <f t="shared" si="0"/>
        <v>0.70422535211267612</v>
      </c>
      <c r="G6" s="3"/>
      <c r="H6" s="5">
        <f t="shared" si="1"/>
        <v>0</v>
      </c>
      <c r="I6" s="3"/>
      <c r="J6" s="5">
        <f t="shared" si="2"/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25">
      <c r="A7" s="3"/>
      <c r="B7" s="3" t="s">
        <v>20</v>
      </c>
      <c r="C7" s="4">
        <v>45061</v>
      </c>
      <c r="D7" s="3">
        <v>0.85</v>
      </c>
      <c r="E7" s="6">
        <v>1300</v>
      </c>
      <c r="F7" s="5">
        <f t="shared" si="0"/>
        <v>1529.4117647058824</v>
      </c>
      <c r="G7" s="3"/>
      <c r="H7" s="5">
        <f t="shared" si="1"/>
        <v>0</v>
      </c>
      <c r="I7" s="3"/>
      <c r="J7" s="5">
        <f t="shared" si="2"/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25">
      <c r="A8" s="3"/>
      <c r="B8" s="3" t="s">
        <v>21</v>
      </c>
      <c r="C8" s="4">
        <v>45061</v>
      </c>
      <c r="D8" s="3">
        <v>1.1399999999999999</v>
      </c>
      <c r="E8" s="3">
        <v>2</v>
      </c>
      <c r="F8" s="5">
        <f t="shared" si="0"/>
        <v>1.7543859649122808</v>
      </c>
      <c r="G8" s="3"/>
      <c r="H8" s="5">
        <f t="shared" si="1"/>
        <v>0</v>
      </c>
      <c r="I8" s="3"/>
      <c r="J8" s="5">
        <f t="shared" si="2"/>
        <v>0</v>
      </c>
      <c r="K8" s="3"/>
      <c r="L8" s="3"/>
      <c r="M8" s="3">
        <v>2</v>
      </c>
      <c r="N8" s="3"/>
      <c r="O8" s="3"/>
      <c r="P8" s="3" t="s">
        <v>22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25">
      <c r="A9" s="3"/>
      <c r="B9" s="3" t="s">
        <v>23</v>
      </c>
      <c r="C9" s="4">
        <v>45061</v>
      </c>
      <c r="D9" s="3">
        <v>1.36</v>
      </c>
      <c r="E9" s="3">
        <v>23</v>
      </c>
      <c r="F9" s="5">
        <f t="shared" si="0"/>
        <v>16.911764705882351</v>
      </c>
      <c r="G9" s="3"/>
      <c r="H9" s="5">
        <f t="shared" si="1"/>
        <v>0</v>
      </c>
      <c r="I9" s="3"/>
      <c r="J9" s="5">
        <f t="shared" si="2"/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25">
      <c r="A10" s="1">
        <v>13</v>
      </c>
      <c r="B10" s="1" t="s">
        <v>24</v>
      </c>
      <c r="C10" s="7">
        <v>45064</v>
      </c>
      <c r="D10" s="1">
        <v>0.39</v>
      </c>
      <c r="E10" s="1">
        <v>17</v>
      </c>
      <c r="F10" s="5">
        <f t="shared" si="0"/>
        <v>43.589743589743591</v>
      </c>
      <c r="G10" s="1">
        <v>2</v>
      </c>
      <c r="H10" s="5">
        <f t="shared" si="1"/>
        <v>5.1282051282051277</v>
      </c>
      <c r="J10" s="5">
        <f t="shared" si="2"/>
        <v>0</v>
      </c>
      <c r="L10" s="1">
        <v>2</v>
      </c>
      <c r="P10" s="1" t="s">
        <v>25</v>
      </c>
    </row>
    <row r="11" spans="1:29" ht="15.75" customHeight="1" x14ac:dyDescent="0.25">
      <c r="B11" s="1" t="s">
        <v>26</v>
      </c>
      <c r="C11" s="7">
        <v>45064</v>
      </c>
      <c r="D11" s="1">
        <v>0.93</v>
      </c>
      <c r="E11" s="1">
        <v>9</v>
      </c>
      <c r="F11" s="5">
        <f t="shared" si="0"/>
        <v>9.67741935483871</v>
      </c>
      <c r="H11" s="5">
        <f t="shared" si="1"/>
        <v>0</v>
      </c>
      <c r="J11" s="5">
        <f t="shared" si="2"/>
        <v>0</v>
      </c>
      <c r="L11" s="1">
        <v>2</v>
      </c>
    </row>
    <row r="12" spans="1:29" ht="15.75" customHeight="1" x14ac:dyDescent="0.25">
      <c r="B12" s="1" t="s">
        <v>27</v>
      </c>
      <c r="C12" s="7">
        <v>45064</v>
      </c>
      <c r="D12" s="1">
        <v>1.1100000000000001</v>
      </c>
      <c r="F12" s="5">
        <f t="shared" si="0"/>
        <v>0</v>
      </c>
      <c r="H12" s="5">
        <f t="shared" si="1"/>
        <v>0</v>
      </c>
      <c r="J12" s="5">
        <f t="shared" si="2"/>
        <v>0</v>
      </c>
    </row>
    <row r="13" spans="1:29" ht="15.75" customHeight="1" x14ac:dyDescent="0.25">
      <c r="A13" s="8" t="s">
        <v>28</v>
      </c>
      <c r="B13" s="8" t="s">
        <v>29</v>
      </c>
      <c r="C13" s="9"/>
      <c r="D13" s="8"/>
      <c r="E13" s="8"/>
      <c r="F13" s="9"/>
      <c r="G13" s="8"/>
      <c r="H13" s="9"/>
      <c r="I13" s="8"/>
      <c r="J13" s="10"/>
      <c r="K13" s="8"/>
      <c r="L13" s="8"/>
      <c r="M13" s="8"/>
      <c r="N13" s="8"/>
      <c r="O13" s="8"/>
      <c r="P13" s="8" t="s">
        <v>28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ht="15.75" customHeight="1" x14ac:dyDescent="0.25">
      <c r="B14" s="1" t="s">
        <v>30</v>
      </c>
      <c r="C14" s="7">
        <v>45064</v>
      </c>
      <c r="D14" s="1">
        <v>1.56</v>
      </c>
      <c r="E14" s="1">
        <v>1</v>
      </c>
      <c r="F14" s="5">
        <f t="shared" ref="F14:F26" si="3">E14/D14</f>
        <v>0.64102564102564097</v>
      </c>
      <c r="H14" s="5">
        <f t="shared" ref="H14:H26" si="4">G14/D14</f>
        <v>0</v>
      </c>
      <c r="J14" s="5">
        <f t="shared" ref="J14:J26" si="5">I14/D14</f>
        <v>0</v>
      </c>
    </row>
    <row r="15" spans="1:29" ht="15.75" customHeight="1" x14ac:dyDescent="0.25">
      <c r="B15" s="1" t="s">
        <v>31</v>
      </c>
      <c r="C15" s="7">
        <v>45064</v>
      </c>
      <c r="D15" s="1">
        <v>0.47</v>
      </c>
      <c r="E15" s="1">
        <v>3</v>
      </c>
      <c r="F15" s="5">
        <f t="shared" si="3"/>
        <v>6.3829787234042561</v>
      </c>
      <c r="H15" s="5">
        <f t="shared" si="4"/>
        <v>0</v>
      </c>
      <c r="J15" s="5">
        <f t="shared" si="5"/>
        <v>0</v>
      </c>
    </row>
    <row r="16" spans="1:29" ht="15.75" customHeight="1" x14ac:dyDescent="0.25">
      <c r="B16" s="1" t="s">
        <v>32</v>
      </c>
      <c r="C16" s="7">
        <v>45064</v>
      </c>
      <c r="D16" s="1">
        <v>0.38</v>
      </c>
      <c r="E16" s="1">
        <v>159</v>
      </c>
      <c r="F16" s="5">
        <f t="shared" si="3"/>
        <v>418.42105263157896</v>
      </c>
      <c r="H16" s="5">
        <f t="shared" si="4"/>
        <v>0</v>
      </c>
      <c r="J16" s="5">
        <f t="shared" si="5"/>
        <v>0</v>
      </c>
    </row>
    <row r="17" spans="1:29" ht="15.75" customHeight="1" x14ac:dyDescent="0.25">
      <c r="A17" s="3">
        <v>14</v>
      </c>
      <c r="B17" s="3" t="s">
        <v>33</v>
      </c>
      <c r="C17" s="4">
        <v>45071</v>
      </c>
      <c r="D17" s="3">
        <v>0.1</v>
      </c>
      <c r="E17" s="3"/>
      <c r="F17" s="5">
        <f t="shared" si="3"/>
        <v>0</v>
      </c>
      <c r="G17" s="3"/>
      <c r="H17" s="5">
        <f t="shared" si="4"/>
        <v>0</v>
      </c>
      <c r="I17" s="3"/>
      <c r="J17" s="5">
        <f t="shared" si="5"/>
        <v>0</v>
      </c>
      <c r="K17" s="3"/>
      <c r="L17" s="3"/>
      <c r="M17" s="3"/>
      <c r="N17" s="3"/>
      <c r="O17" s="3"/>
      <c r="P17" s="11" t="s">
        <v>34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25">
      <c r="A18" s="3"/>
      <c r="B18" s="3" t="s">
        <v>35</v>
      </c>
      <c r="C18" s="4">
        <v>45071</v>
      </c>
      <c r="D18" s="3">
        <v>0.86</v>
      </c>
      <c r="E18" s="3">
        <v>466</v>
      </c>
      <c r="F18" s="5">
        <f t="shared" si="3"/>
        <v>541.8604651162791</v>
      </c>
      <c r="G18" s="3"/>
      <c r="H18" s="5">
        <f t="shared" si="4"/>
        <v>0</v>
      </c>
      <c r="I18" s="3"/>
      <c r="J18" s="5">
        <f t="shared" si="5"/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25">
      <c r="A19" s="3"/>
      <c r="B19" s="3" t="s">
        <v>36</v>
      </c>
      <c r="C19" s="4">
        <v>45071</v>
      </c>
      <c r="D19" s="3">
        <v>1.36</v>
      </c>
      <c r="E19" s="3"/>
      <c r="F19" s="5">
        <f t="shared" si="3"/>
        <v>0</v>
      </c>
      <c r="G19" s="3"/>
      <c r="H19" s="5">
        <f t="shared" si="4"/>
        <v>0</v>
      </c>
      <c r="I19" s="3"/>
      <c r="J19" s="5">
        <f t="shared" si="5"/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25">
      <c r="A20" s="3"/>
      <c r="B20" s="3" t="s">
        <v>37</v>
      </c>
      <c r="C20" s="4">
        <v>45071</v>
      </c>
      <c r="D20" s="3">
        <v>0.75</v>
      </c>
      <c r="E20" s="3"/>
      <c r="F20" s="5">
        <f t="shared" si="3"/>
        <v>0</v>
      </c>
      <c r="G20" s="3"/>
      <c r="H20" s="5">
        <f t="shared" si="4"/>
        <v>0</v>
      </c>
      <c r="I20" s="3"/>
      <c r="J20" s="5">
        <f t="shared" si="5"/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25">
      <c r="A21" s="3"/>
      <c r="B21" s="3" t="s">
        <v>38</v>
      </c>
      <c r="C21" s="4">
        <v>45071</v>
      </c>
      <c r="D21" s="3">
        <v>1.22</v>
      </c>
      <c r="E21" s="3"/>
      <c r="F21" s="5">
        <f t="shared" si="3"/>
        <v>0</v>
      </c>
      <c r="G21" s="3"/>
      <c r="H21" s="5">
        <f t="shared" si="4"/>
        <v>0</v>
      </c>
      <c r="I21" s="3"/>
      <c r="J21" s="5">
        <f t="shared" si="5"/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25">
      <c r="A22" s="3"/>
      <c r="B22" s="3" t="s">
        <v>39</v>
      </c>
      <c r="C22" s="4">
        <v>45071</v>
      </c>
      <c r="D22" s="3">
        <v>1.06</v>
      </c>
      <c r="E22" s="3">
        <v>23</v>
      </c>
      <c r="F22" s="5">
        <f t="shared" si="3"/>
        <v>21.69811320754717</v>
      </c>
      <c r="G22" s="6">
        <v>1000</v>
      </c>
      <c r="H22" s="5">
        <f t="shared" si="4"/>
        <v>943.39622641509425</v>
      </c>
      <c r="I22" s="3"/>
      <c r="J22" s="5">
        <f t="shared" si="5"/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25">
      <c r="A23" s="3"/>
      <c r="B23" s="3" t="s">
        <v>40</v>
      </c>
      <c r="C23" s="4">
        <v>45071</v>
      </c>
      <c r="D23" s="3">
        <v>0.1</v>
      </c>
      <c r="E23" s="3">
        <v>1</v>
      </c>
      <c r="F23" s="5">
        <f t="shared" si="3"/>
        <v>10</v>
      </c>
      <c r="G23" s="3"/>
      <c r="H23" s="5">
        <f t="shared" si="4"/>
        <v>0</v>
      </c>
      <c r="I23" s="3"/>
      <c r="J23" s="5">
        <f t="shared" si="5"/>
        <v>0</v>
      </c>
      <c r="K23" s="3"/>
      <c r="L23" s="3"/>
      <c r="M23" s="3"/>
      <c r="N23" s="3"/>
      <c r="O23" s="3"/>
      <c r="P23" s="11" t="s">
        <v>34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25">
      <c r="A24" s="3"/>
      <c r="B24" s="3" t="s">
        <v>41</v>
      </c>
      <c r="C24" s="4">
        <v>45071</v>
      </c>
      <c r="D24" s="3">
        <v>0.1</v>
      </c>
      <c r="E24" s="3">
        <v>1</v>
      </c>
      <c r="F24" s="5">
        <f t="shared" si="3"/>
        <v>10</v>
      </c>
      <c r="G24" s="3"/>
      <c r="H24" s="5">
        <f t="shared" si="4"/>
        <v>0</v>
      </c>
      <c r="I24" s="3"/>
      <c r="J24" s="5">
        <f t="shared" si="5"/>
        <v>0</v>
      </c>
      <c r="K24" s="3"/>
      <c r="L24" s="3"/>
      <c r="M24" s="3"/>
      <c r="N24" s="3"/>
      <c r="O24" s="3"/>
      <c r="P24" s="11" t="s">
        <v>34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25">
      <c r="A25" s="1">
        <v>15</v>
      </c>
      <c r="B25" s="1" t="s">
        <v>42</v>
      </c>
      <c r="C25" s="7">
        <v>45078</v>
      </c>
      <c r="D25" s="1">
        <v>1.04</v>
      </c>
      <c r="F25" s="5">
        <f t="shared" si="3"/>
        <v>0</v>
      </c>
      <c r="H25" s="5">
        <f t="shared" si="4"/>
        <v>0</v>
      </c>
      <c r="J25" s="5">
        <f t="shared" si="5"/>
        <v>0</v>
      </c>
    </row>
    <row r="26" spans="1:29" ht="15.75" customHeight="1" x14ac:dyDescent="0.25">
      <c r="B26" s="1" t="s">
        <v>43</v>
      </c>
      <c r="C26" s="7">
        <v>45078</v>
      </c>
      <c r="D26" s="1">
        <v>1.06</v>
      </c>
      <c r="E26" s="12">
        <v>1</v>
      </c>
      <c r="F26" s="5">
        <f t="shared" si="3"/>
        <v>0.94339622641509424</v>
      </c>
      <c r="H26" s="5">
        <f t="shared" si="4"/>
        <v>0</v>
      </c>
      <c r="J26" s="5">
        <f t="shared" si="5"/>
        <v>0</v>
      </c>
    </row>
    <row r="27" spans="1:29" ht="15.75" customHeight="1" x14ac:dyDescent="0.25">
      <c r="A27" s="8" t="s">
        <v>28</v>
      </c>
      <c r="B27" s="8" t="s">
        <v>44</v>
      </c>
      <c r="C27" s="9"/>
      <c r="D27" s="8"/>
      <c r="E27" s="8"/>
      <c r="F27" s="9"/>
      <c r="G27" s="8"/>
      <c r="H27" s="9"/>
      <c r="I27" s="8"/>
      <c r="J27" s="10"/>
      <c r="K27" s="8"/>
      <c r="L27" s="8"/>
      <c r="M27" s="8"/>
      <c r="N27" s="8"/>
      <c r="O27" s="8"/>
      <c r="P27" s="8" t="s">
        <v>28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5.75" customHeight="1" x14ac:dyDescent="0.25">
      <c r="B28" s="1" t="s">
        <v>45</v>
      </c>
      <c r="C28" s="7">
        <v>45078</v>
      </c>
      <c r="D28" s="13">
        <v>0.67</v>
      </c>
      <c r="F28" s="5">
        <f t="shared" ref="F28:F48" si="6">E28/D28</f>
        <v>0</v>
      </c>
      <c r="H28" s="5">
        <f t="shared" ref="H28:H48" si="7">G28/D28</f>
        <v>0</v>
      </c>
      <c r="J28" s="5">
        <f t="shared" ref="J28:J48" si="8">I28/D28</f>
        <v>0</v>
      </c>
    </row>
    <row r="29" spans="1:29" ht="15.75" customHeight="1" x14ac:dyDescent="0.25">
      <c r="B29" s="1" t="s">
        <v>46</v>
      </c>
      <c r="C29" s="7">
        <v>45078</v>
      </c>
      <c r="D29" s="13">
        <v>0.72</v>
      </c>
      <c r="E29" s="1">
        <v>97</v>
      </c>
      <c r="F29" s="5">
        <f t="shared" si="6"/>
        <v>134.72222222222223</v>
      </c>
      <c r="H29" s="5">
        <f t="shared" si="7"/>
        <v>0</v>
      </c>
      <c r="I29" s="1">
        <v>3</v>
      </c>
      <c r="J29" s="5">
        <f t="shared" si="8"/>
        <v>4.166666666666667</v>
      </c>
      <c r="P29" s="1" t="s">
        <v>47</v>
      </c>
    </row>
    <row r="30" spans="1:29" ht="15.75" customHeight="1" x14ac:dyDescent="0.25">
      <c r="B30" s="1" t="s">
        <v>48</v>
      </c>
      <c r="C30" s="7">
        <v>45078</v>
      </c>
      <c r="D30" s="13">
        <v>0.73</v>
      </c>
      <c r="F30" s="5">
        <f t="shared" si="6"/>
        <v>0</v>
      </c>
      <c r="H30" s="5">
        <f t="shared" si="7"/>
        <v>0</v>
      </c>
      <c r="J30" s="5">
        <f t="shared" si="8"/>
        <v>0</v>
      </c>
    </row>
    <row r="31" spans="1:29" ht="15.75" customHeight="1" x14ac:dyDescent="0.25">
      <c r="B31" s="1" t="s">
        <v>49</v>
      </c>
      <c r="C31" s="7">
        <v>45078</v>
      </c>
      <c r="D31" s="13">
        <v>0.74</v>
      </c>
      <c r="F31" s="5">
        <f t="shared" si="6"/>
        <v>0</v>
      </c>
      <c r="H31" s="5">
        <f t="shared" si="7"/>
        <v>0</v>
      </c>
      <c r="J31" s="5">
        <f t="shared" si="8"/>
        <v>0</v>
      </c>
    </row>
    <row r="32" spans="1:29" ht="15.75" customHeight="1" x14ac:dyDescent="0.25">
      <c r="A32" s="3">
        <v>17</v>
      </c>
      <c r="B32" s="3" t="s">
        <v>50</v>
      </c>
      <c r="C32" s="4">
        <v>45089</v>
      </c>
      <c r="D32" s="3">
        <v>1.1499999999999999</v>
      </c>
      <c r="E32" s="3"/>
      <c r="F32" s="5">
        <f t="shared" si="6"/>
        <v>0</v>
      </c>
      <c r="G32" s="3"/>
      <c r="H32" s="5">
        <f t="shared" si="7"/>
        <v>0</v>
      </c>
      <c r="I32" s="3"/>
      <c r="J32" s="5">
        <f t="shared" si="8"/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25">
      <c r="A33" s="3"/>
      <c r="B33" s="3" t="s">
        <v>51</v>
      </c>
      <c r="C33" s="4">
        <v>45089</v>
      </c>
      <c r="D33" s="3">
        <v>0.21</v>
      </c>
      <c r="E33" s="3">
        <v>1</v>
      </c>
      <c r="F33" s="5">
        <f t="shared" si="6"/>
        <v>4.7619047619047619</v>
      </c>
      <c r="G33" s="3"/>
      <c r="H33" s="5">
        <f t="shared" si="7"/>
        <v>0</v>
      </c>
      <c r="I33" s="3"/>
      <c r="J33" s="5">
        <f t="shared" si="8"/>
        <v>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25">
      <c r="A34" s="3"/>
      <c r="B34" s="3" t="s">
        <v>52</v>
      </c>
      <c r="C34" s="4">
        <v>45089</v>
      </c>
      <c r="D34" s="3">
        <v>1.36</v>
      </c>
      <c r="E34" s="3">
        <v>3</v>
      </c>
      <c r="F34" s="5">
        <f t="shared" si="6"/>
        <v>2.2058823529411762</v>
      </c>
      <c r="G34" s="3">
        <v>361</v>
      </c>
      <c r="H34" s="5">
        <f t="shared" si="7"/>
        <v>265.44117647058823</v>
      </c>
      <c r="I34" s="3"/>
      <c r="J34" s="5">
        <f t="shared" si="8"/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25">
      <c r="A35" s="3"/>
      <c r="B35" s="3" t="s">
        <v>53</v>
      </c>
      <c r="C35" s="4">
        <v>45089</v>
      </c>
      <c r="D35" s="3">
        <v>1.53</v>
      </c>
      <c r="E35" s="3"/>
      <c r="F35" s="5">
        <f t="shared" si="6"/>
        <v>0</v>
      </c>
      <c r="G35" s="3"/>
      <c r="H35" s="5">
        <f t="shared" si="7"/>
        <v>0</v>
      </c>
      <c r="I35" s="3"/>
      <c r="J35" s="5">
        <f t="shared" si="8"/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25">
      <c r="A36" s="3"/>
      <c r="B36" s="3" t="s">
        <v>54</v>
      </c>
      <c r="C36" s="4">
        <v>45089</v>
      </c>
      <c r="D36" s="3">
        <v>1.1499999999999999</v>
      </c>
      <c r="E36" s="3"/>
      <c r="F36" s="5">
        <f t="shared" si="6"/>
        <v>0</v>
      </c>
      <c r="G36" s="3"/>
      <c r="H36" s="5">
        <f t="shared" si="7"/>
        <v>0</v>
      </c>
      <c r="I36" s="3"/>
      <c r="J36" s="5">
        <f t="shared" si="8"/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25">
      <c r="A37" s="3"/>
      <c r="B37" s="3" t="s">
        <v>55</v>
      </c>
      <c r="C37" s="4">
        <v>45089</v>
      </c>
      <c r="D37" s="3">
        <v>0.45</v>
      </c>
      <c r="E37" s="3">
        <v>61</v>
      </c>
      <c r="F37" s="5">
        <f t="shared" si="6"/>
        <v>135.55555555555554</v>
      </c>
      <c r="G37" s="3"/>
      <c r="H37" s="5">
        <f t="shared" si="7"/>
        <v>0</v>
      </c>
      <c r="I37" s="3"/>
      <c r="J37" s="5">
        <f t="shared" si="8"/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25">
      <c r="A38" s="3"/>
      <c r="B38" s="3" t="s">
        <v>56</v>
      </c>
      <c r="C38" s="4">
        <v>45089</v>
      </c>
      <c r="D38" s="3">
        <v>1.05</v>
      </c>
      <c r="E38" s="3">
        <v>2</v>
      </c>
      <c r="F38" s="5">
        <f t="shared" si="6"/>
        <v>1.9047619047619047</v>
      </c>
      <c r="G38" s="3">
        <v>13</v>
      </c>
      <c r="H38" s="5">
        <f t="shared" si="7"/>
        <v>12.38095238095238</v>
      </c>
      <c r="I38" s="3"/>
      <c r="J38" s="5">
        <f t="shared" si="8"/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25">
      <c r="A39" s="1">
        <v>19</v>
      </c>
      <c r="B39" s="1" t="s">
        <v>57</v>
      </c>
      <c r="C39" s="7">
        <v>45092</v>
      </c>
      <c r="D39" s="1">
        <v>0.15</v>
      </c>
      <c r="F39" s="5">
        <f t="shared" si="6"/>
        <v>0</v>
      </c>
      <c r="H39" s="5">
        <f t="shared" si="7"/>
        <v>0</v>
      </c>
      <c r="J39" s="5">
        <f t="shared" si="8"/>
        <v>0</v>
      </c>
    </row>
    <row r="40" spans="1:29" ht="15.75" customHeight="1" x14ac:dyDescent="0.25">
      <c r="B40" s="1" t="s">
        <v>58</v>
      </c>
      <c r="C40" s="7">
        <v>45092</v>
      </c>
      <c r="D40" s="1">
        <v>1.18</v>
      </c>
      <c r="F40" s="5">
        <f t="shared" si="6"/>
        <v>0</v>
      </c>
      <c r="H40" s="5">
        <f t="shared" si="7"/>
        <v>0</v>
      </c>
      <c r="J40" s="5">
        <f t="shared" si="8"/>
        <v>0</v>
      </c>
    </row>
    <row r="41" spans="1:29" ht="15.75" customHeight="1" x14ac:dyDescent="0.25">
      <c r="B41" s="1" t="s">
        <v>59</v>
      </c>
      <c r="C41" s="7">
        <v>45092</v>
      </c>
      <c r="D41" s="1">
        <v>1.38</v>
      </c>
      <c r="E41" s="1">
        <v>11</v>
      </c>
      <c r="F41" s="5">
        <f t="shared" si="6"/>
        <v>7.9710144927536239</v>
      </c>
      <c r="G41" s="1">
        <v>5</v>
      </c>
      <c r="H41" s="5">
        <f t="shared" si="7"/>
        <v>3.6231884057971016</v>
      </c>
      <c r="J41" s="5">
        <f t="shared" si="8"/>
        <v>0</v>
      </c>
    </row>
    <row r="42" spans="1:29" ht="15.75" customHeight="1" x14ac:dyDescent="0.25">
      <c r="B42" s="1" t="s">
        <v>60</v>
      </c>
      <c r="C42" s="7">
        <v>45092</v>
      </c>
      <c r="D42" s="1">
        <v>0.32</v>
      </c>
      <c r="E42" s="1">
        <v>43</v>
      </c>
      <c r="F42" s="5">
        <f t="shared" si="6"/>
        <v>134.375</v>
      </c>
      <c r="G42" s="1">
        <v>4</v>
      </c>
      <c r="H42" s="5">
        <f t="shared" si="7"/>
        <v>12.5</v>
      </c>
      <c r="J42" s="5">
        <f t="shared" si="8"/>
        <v>0</v>
      </c>
    </row>
    <row r="43" spans="1:29" ht="15.75" customHeight="1" x14ac:dyDescent="0.25">
      <c r="B43" s="1" t="s">
        <v>61</v>
      </c>
      <c r="C43" s="7">
        <v>45092</v>
      </c>
      <c r="D43" s="1">
        <v>1.35</v>
      </c>
      <c r="F43" s="5">
        <f t="shared" si="6"/>
        <v>0</v>
      </c>
      <c r="H43" s="5">
        <f t="shared" si="7"/>
        <v>0</v>
      </c>
      <c r="J43" s="5">
        <f t="shared" si="8"/>
        <v>0</v>
      </c>
    </row>
    <row r="44" spans="1:29" ht="15.75" customHeight="1" x14ac:dyDescent="0.25">
      <c r="B44" s="1" t="s">
        <v>62</v>
      </c>
      <c r="C44" s="7">
        <v>45092</v>
      </c>
      <c r="D44" s="1">
        <v>0.54</v>
      </c>
      <c r="E44" s="1">
        <v>1</v>
      </c>
      <c r="F44" s="5">
        <f t="shared" si="6"/>
        <v>1.8518518518518516</v>
      </c>
      <c r="H44" s="5">
        <f t="shared" si="7"/>
        <v>0</v>
      </c>
      <c r="J44" s="5">
        <f t="shared" si="8"/>
        <v>0</v>
      </c>
      <c r="P44" s="1" t="s">
        <v>63</v>
      </c>
    </row>
    <row r="45" spans="1:29" ht="15.75" customHeight="1" x14ac:dyDescent="0.25">
      <c r="B45" s="1" t="s">
        <v>64</v>
      </c>
      <c r="C45" s="7">
        <v>45092</v>
      </c>
      <c r="D45" s="1">
        <v>1.03</v>
      </c>
      <c r="F45" s="5">
        <f t="shared" si="6"/>
        <v>0</v>
      </c>
      <c r="H45" s="5">
        <f t="shared" si="7"/>
        <v>0</v>
      </c>
      <c r="J45" s="5">
        <f t="shared" si="8"/>
        <v>0</v>
      </c>
    </row>
    <row r="46" spans="1:29" ht="15.75" customHeight="1" x14ac:dyDescent="0.25">
      <c r="B46" s="1" t="s">
        <v>65</v>
      </c>
      <c r="C46" s="7">
        <v>45092</v>
      </c>
      <c r="D46" s="1">
        <v>1</v>
      </c>
      <c r="F46" s="5">
        <f t="shared" si="6"/>
        <v>0</v>
      </c>
      <c r="H46" s="5">
        <f t="shared" si="7"/>
        <v>0</v>
      </c>
      <c r="J46" s="5">
        <f t="shared" si="8"/>
        <v>0</v>
      </c>
    </row>
    <row r="47" spans="1:29" ht="15.75" customHeight="1" x14ac:dyDescent="0.25">
      <c r="A47" s="3">
        <v>21</v>
      </c>
      <c r="B47" s="3" t="s">
        <v>66</v>
      </c>
      <c r="C47" s="4">
        <v>45106</v>
      </c>
      <c r="D47" s="3">
        <v>0.52</v>
      </c>
      <c r="E47" s="3">
        <v>1000</v>
      </c>
      <c r="F47" s="5">
        <f t="shared" si="6"/>
        <v>1923.0769230769231</v>
      </c>
      <c r="G47" s="3"/>
      <c r="H47" s="5">
        <f t="shared" si="7"/>
        <v>0</v>
      </c>
      <c r="I47" s="3"/>
      <c r="J47" s="5">
        <f t="shared" si="8"/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25">
      <c r="A48" s="3" t="s">
        <v>67</v>
      </c>
      <c r="B48" s="3" t="s">
        <v>68</v>
      </c>
      <c r="C48" s="4">
        <v>45106</v>
      </c>
      <c r="D48" s="3">
        <v>0.86</v>
      </c>
      <c r="E48" s="3">
        <v>41</v>
      </c>
      <c r="F48" s="5">
        <f t="shared" si="6"/>
        <v>47.674418604651166</v>
      </c>
      <c r="G48" s="3"/>
      <c r="H48" s="5">
        <f t="shared" si="7"/>
        <v>0</v>
      </c>
      <c r="I48" s="3"/>
      <c r="J48" s="5">
        <f t="shared" si="8"/>
        <v>0</v>
      </c>
      <c r="K48" s="3"/>
      <c r="L48" s="3"/>
      <c r="M48" s="3"/>
      <c r="N48" s="3"/>
      <c r="O48" s="3"/>
      <c r="P48" s="3" t="s">
        <v>69</v>
      </c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25">
      <c r="A49" s="8" t="s">
        <v>28</v>
      </c>
      <c r="B49" s="8" t="s">
        <v>70</v>
      </c>
      <c r="C49" s="9"/>
      <c r="D49" s="9"/>
      <c r="E49" s="9"/>
      <c r="F49" s="9"/>
      <c r="G49" s="9"/>
      <c r="H49" s="9"/>
      <c r="I49" s="9"/>
      <c r="J49" s="10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ht="15.75" customHeight="1" x14ac:dyDescent="0.25">
      <c r="A50" s="3"/>
      <c r="B50" s="3" t="s">
        <v>71</v>
      </c>
      <c r="C50" s="4">
        <v>45106</v>
      </c>
      <c r="D50" s="3">
        <v>1.63</v>
      </c>
      <c r="E50" s="3">
        <v>1500</v>
      </c>
      <c r="F50" s="5">
        <f t="shared" ref="F50:F63" si="9">E50/D50</f>
        <v>920.24539877300617</v>
      </c>
      <c r="G50" s="3"/>
      <c r="H50" s="5">
        <f t="shared" ref="H50:H63" si="10">G50/D50</f>
        <v>0</v>
      </c>
      <c r="I50" s="3"/>
      <c r="J50" s="5">
        <f t="shared" ref="J50:J63" si="11">I50/D50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25">
      <c r="A51" s="3"/>
      <c r="B51" s="3" t="s">
        <v>72</v>
      </c>
      <c r="C51" s="4">
        <v>45106</v>
      </c>
      <c r="D51" s="3">
        <v>0.74</v>
      </c>
      <c r="E51" s="3"/>
      <c r="F51" s="5">
        <f t="shared" si="9"/>
        <v>0</v>
      </c>
      <c r="G51" s="3"/>
      <c r="H51" s="5">
        <f t="shared" si="10"/>
        <v>0</v>
      </c>
      <c r="I51" s="3"/>
      <c r="J51" s="5">
        <f t="shared" si="11"/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25">
      <c r="A52" s="3"/>
      <c r="B52" s="3" t="s">
        <v>73</v>
      </c>
      <c r="C52" s="4">
        <v>45106</v>
      </c>
      <c r="D52" s="3">
        <v>1.1200000000000001</v>
      </c>
      <c r="E52" s="3"/>
      <c r="F52" s="5">
        <f t="shared" si="9"/>
        <v>0</v>
      </c>
      <c r="G52" s="3"/>
      <c r="H52" s="5">
        <f t="shared" si="10"/>
        <v>0</v>
      </c>
      <c r="I52" s="3">
        <v>1</v>
      </c>
      <c r="J52" s="5">
        <f t="shared" si="11"/>
        <v>0.89285714285714279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25">
      <c r="A53" s="3"/>
      <c r="B53" s="3" t="s">
        <v>74</v>
      </c>
      <c r="C53" s="4">
        <v>45106</v>
      </c>
      <c r="D53" s="3">
        <v>1.06</v>
      </c>
      <c r="E53" s="3">
        <v>365</v>
      </c>
      <c r="F53" s="5">
        <f t="shared" si="9"/>
        <v>344.33962264150944</v>
      </c>
      <c r="G53" s="3"/>
      <c r="H53" s="5">
        <f t="shared" si="10"/>
        <v>0</v>
      </c>
      <c r="I53" s="3">
        <v>10</v>
      </c>
      <c r="J53" s="5">
        <f t="shared" si="11"/>
        <v>9.4339622641509422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25">
      <c r="A54" s="3"/>
      <c r="B54" s="3" t="s">
        <v>75</v>
      </c>
      <c r="C54" s="4">
        <v>45106</v>
      </c>
      <c r="D54" s="3">
        <v>1</v>
      </c>
      <c r="E54" s="3">
        <v>581</v>
      </c>
      <c r="F54" s="5">
        <f t="shared" si="9"/>
        <v>581</v>
      </c>
      <c r="G54" s="3"/>
      <c r="H54" s="5">
        <f t="shared" si="10"/>
        <v>0</v>
      </c>
      <c r="I54" s="3"/>
      <c r="J54" s="5">
        <f t="shared" si="11"/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25">
      <c r="B55" s="1" t="s">
        <v>76</v>
      </c>
      <c r="C55" s="7">
        <v>45120</v>
      </c>
      <c r="D55" s="1">
        <v>0.28999999999999998</v>
      </c>
      <c r="E55" s="1">
        <v>2000</v>
      </c>
      <c r="F55" s="5">
        <f t="shared" si="9"/>
        <v>6896.5517241379312</v>
      </c>
      <c r="H55" s="5">
        <f t="shared" si="10"/>
        <v>0</v>
      </c>
      <c r="I55" s="1">
        <v>57</v>
      </c>
      <c r="J55" s="5">
        <f t="shared" si="11"/>
        <v>196.55172413793105</v>
      </c>
    </row>
    <row r="56" spans="1:29" ht="15.75" customHeight="1" x14ac:dyDescent="0.25">
      <c r="B56" s="1" t="s">
        <v>77</v>
      </c>
      <c r="C56" s="7">
        <v>45120</v>
      </c>
      <c r="D56" s="1">
        <v>0.57999999999999996</v>
      </c>
      <c r="E56" s="1">
        <v>2000</v>
      </c>
      <c r="F56" s="5">
        <f t="shared" si="9"/>
        <v>3448.2758620689656</v>
      </c>
      <c r="H56" s="5">
        <f t="shared" si="10"/>
        <v>0</v>
      </c>
      <c r="I56" s="1">
        <v>3000</v>
      </c>
      <c r="J56" s="5">
        <f t="shared" si="11"/>
        <v>5172.4137931034484</v>
      </c>
    </row>
    <row r="57" spans="1:29" ht="12.5" x14ac:dyDescent="0.25">
      <c r="B57" s="1" t="s">
        <v>78</v>
      </c>
      <c r="C57" s="7">
        <v>45120</v>
      </c>
      <c r="D57" s="1">
        <v>1.1499999999999999</v>
      </c>
      <c r="E57" s="1">
        <v>800</v>
      </c>
      <c r="F57" s="5">
        <f t="shared" si="9"/>
        <v>695.6521739130435</v>
      </c>
      <c r="H57" s="5">
        <f t="shared" si="10"/>
        <v>0</v>
      </c>
      <c r="J57" s="5">
        <f t="shared" si="11"/>
        <v>0</v>
      </c>
    </row>
    <row r="58" spans="1:29" ht="12.5" x14ac:dyDescent="0.25">
      <c r="B58" s="1" t="s">
        <v>79</v>
      </c>
      <c r="C58" s="7">
        <v>45120</v>
      </c>
      <c r="D58" s="1">
        <v>0.59</v>
      </c>
      <c r="F58" s="5">
        <f t="shared" si="9"/>
        <v>0</v>
      </c>
      <c r="H58" s="5">
        <f t="shared" si="10"/>
        <v>0</v>
      </c>
      <c r="J58" s="5">
        <f t="shared" si="11"/>
        <v>0</v>
      </c>
    </row>
    <row r="59" spans="1:29" ht="12.5" x14ac:dyDescent="0.25">
      <c r="B59" s="1" t="s">
        <v>80</v>
      </c>
      <c r="C59" s="7">
        <v>45120</v>
      </c>
      <c r="D59" s="1">
        <v>1.03</v>
      </c>
      <c r="F59" s="5">
        <f t="shared" si="9"/>
        <v>0</v>
      </c>
      <c r="G59" s="1">
        <v>97</v>
      </c>
      <c r="H59" s="5">
        <f t="shared" si="10"/>
        <v>94.174757281553397</v>
      </c>
      <c r="J59" s="5">
        <f t="shared" si="11"/>
        <v>0</v>
      </c>
    </row>
    <row r="60" spans="1:29" ht="12.5" x14ac:dyDescent="0.25">
      <c r="B60" s="1" t="s">
        <v>81</v>
      </c>
      <c r="C60" s="7">
        <v>45120</v>
      </c>
      <c r="D60" s="1">
        <v>0.55000000000000004</v>
      </c>
      <c r="E60" s="1">
        <v>450</v>
      </c>
      <c r="F60" s="5">
        <f t="shared" si="9"/>
        <v>818.18181818181813</v>
      </c>
      <c r="H60" s="5">
        <f t="shared" si="10"/>
        <v>0</v>
      </c>
      <c r="I60" s="1">
        <v>500</v>
      </c>
      <c r="J60" s="5">
        <f t="shared" si="11"/>
        <v>909.09090909090901</v>
      </c>
    </row>
    <row r="61" spans="1:29" ht="12.5" x14ac:dyDescent="0.25">
      <c r="B61" s="1" t="s">
        <v>82</v>
      </c>
      <c r="C61" s="7">
        <v>45120</v>
      </c>
      <c r="D61" s="1">
        <v>1.65</v>
      </c>
      <c r="E61" s="1">
        <v>3</v>
      </c>
      <c r="F61" s="5">
        <f t="shared" si="9"/>
        <v>1.8181818181818183</v>
      </c>
      <c r="G61" s="1">
        <v>500</v>
      </c>
      <c r="H61" s="5">
        <f t="shared" si="10"/>
        <v>303.03030303030306</v>
      </c>
      <c r="J61" s="5">
        <f t="shared" si="11"/>
        <v>0</v>
      </c>
    </row>
    <row r="62" spans="1:29" ht="12.5" x14ac:dyDescent="0.25">
      <c r="B62" s="1" t="s">
        <v>83</v>
      </c>
      <c r="C62" s="7">
        <v>45120</v>
      </c>
      <c r="D62" s="1">
        <v>0.19</v>
      </c>
      <c r="E62" s="1">
        <v>16</v>
      </c>
      <c r="F62" s="5">
        <f t="shared" si="9"/>
        <v>84.21052631578948</v>
      </c>
      <c r="H62" s="5">
        <f t="shared" si="10"/>
        <v>0</v>
      </c>
      <c r="J62" s="5">
        <f t="shared" si="11"/>
        <v>0</v>
      </c>
    </row>
    <row r="63" spans="1:29" ht="12.5" x14ac:dyDescent="0.25">
      <c r="B63" s="1" t="s">
        <v>84</v>
      </c>
      <c r="C63" s="7">
        <v>45120</v>
      </c>
      <c r="D63" s="1">
        <v>0.94</v>
      </c>
      <c r="E63" s="1">
        <v>3</v>
      </c>
      <c r="F63" s="5">
        <f t="shared" si="9"/>
        <v>3.191489361702128</v>
      </c>
      <c r="H63" s="5">
        <f t="shared" si="10"/>
        <v>0</v>
      </c>
      <c r="J63" s="5">
        <f t="shared" si="11"/>
        <v>0</v>
      </c>
    </row>
    <row r="64" spans="1:29" ht="12.5" x14ac:dyDescent="0.25">
      <c r="A64" s="8" t="s">
        <v>28</v>
      </c>
      <c r="B64" s="8" t="s">
        <v>85</v>
      </c>
      <c r="C64" s="9">
        <v>45134</v>
      </c>
      <c r="D64" s="9"/>
      <c r="E64" s="9"/>
      <c r="F64" s="9"/>
      <c r="G64" s="9"/>
      <c r="H64" s="9"/>
      <c r="I64" s="9"/>
      <c r="J64" s="10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 ht="12.5" x14ac:dyDescent="0.25">
      <c r="A65" s="3"/>
      <c r="B65" s="3" t="s">
        <v>86</v>
      </c>
      <c r="C65" s="4">
        <v>45134</v>
      </c>
      <c r="D65" s="3">
        <v>1.41</v>
      </c>
      <c r="E65" s="3"/>
      <c r="F65" s="5">
        <f t="shared" ref="F65:F70" si="12">E65/D65</f>
        <v>0</v>
      </c>
      <c r="G65" s="3"/>
      <c r="H65" s="5">
        <f t="shared" ref="H65:H70" si="13">G65/D65</f>
        <v>0</v>
      </c>
      <c r="I65" s="3"/>
      <c r="J65" s="5">
        <f t="shared" ref="J65:J70" si="14">I65/D65</f>
        <v>0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2.5" x14ac:dyDescent="0.25">
      <c r="A66" s="3"/>
      <c r="B66" s="3" t="s">
        <v>87</v>
      </c>
      <c r="C66" s="4">
        <v>45134</v>
      </c>
      <c r="D66" s="3">
        <v>1.38</v>
      </c>
      <c r="E66" s="3">
        <v>7</v>
      </c>
      <c r="F66" s="5">
        <f t="shared" si="12"/>
        <v>5.0724637681159424</v>
      </c>
      <c r="G66" s="3">
        <v>31</v>
      </c>
      <c r="H66" s="5">
        <f t="shared" si="13"/>
        <v>22.463768115942031</v>
      </c>
      <c r="I66" s="3"/>
      <c r="J66" s="5">
        <f t="shared" si="14"/>
        <v>0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2.5" x14ac:dyDescent="0.25">
      <c r="A67" s="3"/>
      <c r="B67" s="3" t="s">
        <v>88</v>
      </c>
      <c r="C67" s="4">
        <v>45134</v>
      </c>
      <c r="D67" s="3">
        <v>1.06</v>
      </c>
      <c r="E67" s="3"/>
      <c r="F67" s="5">
        <f t="shared" si="12"/>
        <v>0</v>
      </c>
      <c r="G67" s="3">
        <v>17</v>
      </c>
      <c r="H67" s="5">
        <f t="shared" si="13"/>
        <v>16.037735849056602</v>
      </c>
      <c r="I67" s="3"/>
      <c r="J67" s="5">
        <f t="shared" si="14"/>
        <v>0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2.5" x14ac:dyDescent="0.25">
      <c r="A68" s="3"/>
      <c r="B68" s="3" t="s">
        <v>89</v>
      </c>
      <c r="C68" s="4">
        <v>45134</v>
      </c>
      <c r="D68" s="3">
        <v>0.21</v>
      </c>
      <c r="E68" s="3">
        <v>40</v>
      </c>
      <c r="F68" s="5">
        <f t="shared" si="12"/>
        <v>190.47619047619048</v>
      </c>
      <c r="G68" s="3"/>
      <c r="H68" s="5">
        <f t="shared" si="13"/>
        <v>0</v>
      </c>
      <c r="I68" s="3">
        <v>700</v>
      </c>
      <c r="J68" s="5">
        <f t="shared" si="14"/>
        <v>3333.3333333333335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2.5" x14ac:dyDescent="0.25">
      <c r="A69" s="3"/>
      <c r="B69" s="3" t="s">
        <v>90</v>
      </c>
      <c r="C69" s="4">
        <v>45134</v>
      </c>
      <c r="D69" s="3">
        <v>0.76</v>
      </c>
      <c r="E69" s="3"/>
      <c r="F69" s="5">
        <f t="shared" si="12"/>
        <v>0</v>
      </c>
      <c r="G69" s="3"/>
      <c r="H69" s="5">
        <f t="shared" si="13"/>
        <v>0</v>
      </c>
      <c r="I69" s="3"/>
      <c r="J69" s="5">
        <f t="shared" si="14"/>
        <v>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2.5" x14ac:dyDescent="0.25">
      <c r="A70" s="3"/>
      <c r="B70" s="3" t="s">
        <v>91</v>
      </c>
      <c r="C70" s="4">
        <v>45134</v>
      </c>
      <c r="D70" s="3">
        <v>1.1399999999999999</v>
      </c>
      <c r="E70" s="3">
        <v>1</v>
      </c>
      <c r="F70" s="5">
        <f t="shared" si="12"/>
        <v>0.87719298245614041</v>
      </c>
      <c r="G70" s="3"/>
      <c r="H70" s="5">
        <f t="shared" si="13"/>
        <v>0</v>
      </c>
      <c r="I70" s="3"/>
      <c r="J70" s="5">
        <f t="shared" si="14"/>
        <v>0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2.5" x14ac:dyDescent="0.25">
      <c r="A71" s="8" t="s">
        <v>28</v>
      </c>
      <c r="B71" s="8" t="s">
        <v>92</v>
      </c>
      <c r="C71" s="9">
        <v>45134</v>
      </c>
      <c r="D71" s="9"/>
      <c r="E71" s="9"/>
      <c r="F71" s="9"/>
      <c r="G71" s="9"/>
      <c r="H71" s="9"/>
      <c r="I71" s="9"/>
      <c r="J71" s="10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ht="12.5" x14ac:dyDescent="0.25">
      <c r="B72" s="1" t="s">
        <v>93</v>
      </c>
      <c r="C72" s="7">
        <v>45141</v>
      </c>
      <c r="D72" s="1">
        <v>1.97</v>
      </c>
      <c r="E72" s="1">
        <v>1</v>
      </c>
      <c r="F72" s="5">
        <f t="shared" ref="F72:F76" si="15">E72/D72</f>
        <v>0.50761421319796951</v>
      </c>
      <c r="H72" s="5">
        <f t="shared" ref="H72:H76" si="16">G72/D72</f>
        <v>0</v>
      </c>
      <c r="I72" s="1">
        <v>740</v>
      </c>
      <c r="J72" s="5">
        <f t="shared" ref="J72:J76" si="17">I72/D72</f>
        <v>375.63451776649748</v>
      </c>
      <c r="P72" s="1" t="s">
        <v>63</v>
      </c>
      <c r="Q72" s="1" t="s">
        <v>94</v>
      </c>
    </row>
    <row r="73" spans="1:29" ht="12.5" x14ac:dyDescent="0.25">
      <c r="B73" s="1" t="s">
        <v>95</v>
      </c>
      <c r="C73" s="7">
        <v>45141</v>
      </c>
      <c r="D73" s="1">
        <v>0.21</v>
      </c>
      <c r="F73" s="5">
        <f t="shared" si="15"/>
        <v>0</v>
      </c>
      <c r="H73" s="5">
        <f t="shared" si="16"/>
        <v>0</v>
      </c>
      <c r="J73" s="5">
        <f t="shared" si="17"/>
        <v>0</v>
      </c>
    </row>
    <row r="74" spans="1:29" ht="12.5" x14ac:dyDescent="0.25">
      <c r="B74" s="1" t="s">
        <v>96</v>
      </c>
      <c r="C74" s="7">
        <v>45141</v>
      </c>
      <c r="D74" s="1">
        <v>0.68</v>
      </c>
      <c r="F74" s="5">
        <f t="shared" si="15"/>
        <v>0</v>
      </c>
      <c r="H74" s="5">
        <f t="shared" si="16"/>
        <v>0</v>
      </c>
      <c r="J74" s="5">
        <f t="shared" si="17"/>
        <v>0</v>
      </c>
    </row>
    <row r="75" spans="1:29" ht="12.5" x14ac:dyDescent="0.25">
      <c r="B75" s="1" t="s">
        <v>97</v>
      </c>
      <c r="C75" s="7">
        <v>45141</v>
      </c>
      <c r="D75" s="1">
        <v>1</v>
      </c>
      <c r="F75" s="5">
        <f t="shared" si="15"/>
        <v>0</v>
      </c>
      <c r="H75" s="5">
        <f t="shared" si="16"/>
        <v>0</v>
      </c>
      <c r="J75" s="5">
        <f t="shared" si="17"/>
        <v>0</v>
      </c>
    </row>
    <row r="76" spans="1:29" ht="12.5" x14ac:dyDescent="0.25">
      <c r="B76" s="1" t="s">
        <v>98</v>
      </c>
      <c r="C76" s="7">
        <v>45141</v>
      </c>
      <c r="D76" s="1">
        <v>0.65</v>
      </c>
      <c r="F76" s="5">
        <f t="shared" si="15"/>
        <v>0</v>
      </c>
      <c r="H76" s="5">
        <f t="shared" si="16"/>
        <v>0</v>
      </c>
      <c r="J76" s="5">
        <f t="shared" si="17"/>
        <v>0</v>
      </c>
    </row>
    <row r="77" spans="1:29" ht="12.5" x14ac:dyDescent="0.25">
      <c r="A77" s="3"/>
      <c r="B77" s="3" t="s">
        <v>99</v>
      </c>
      <c r="C77" s="3"/>
      <c r="D77" s="3"/>
      <c r="E77" s="3"/>
      <c r="F77" s="14"/>
      <c r="G77" s="3"/>
      <c r="H77" s="14"/>
      <c r="I77" s="3"/>
      <c r="J77" s="1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2.5" x14ac:dyDescent="0.25">
      <c r="A78" s="3"/>
      <c r="B78" s="3" t="s">
        <v>100</v>
      </c>
      <c r="C78" s="3"/>
      <c r="D78" s="14"/>
      <c r="E78" s="3"/>
      <c r="F78" s="14">
        <f>COUNTA(F17:F76)</f>
        <v>56</v>
      </c>
      <c r="G78" s="3"/>
      <c r="H78" s="14"/>
      <c r="I78" s="3"/>
      <c r="J78" s="1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2.5" x14ac:dyDescent="0.25">
      <c r="A79" s="3"/>
      <c r="B79" s="3" t="s">
        <v>101</v>
      </c>
      <c r="C79" s="3"/>
      <c r="D79" s="3"/>
      <c r="E79" s="3"/>
      <c r="F79" s="14"/>
      <c r="G79" s="3"/>
      <c r="H79" s="14"/>
      <c r="I79" s="3"/>
      <c r="J79" s="1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2.5" x14ac:dyDescent="0.25">
      <c r="A80" s="3"/>
      <c r="B80" s="3" t="s">
        <v>102</v>
      </c>
      <c r="C80" s="3"/>
      <c r="D80" s="3"/>
      <c r="E80" s="3"/>
      <c r="F80" s="14"/>
      <c r="G80" s="3"/>
      <c r="H80" s="14"/>
      <c r="I80" s="3"/>
      <c r="J80" s="1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2.5" x14ac:dyDescent="0.25">
      <c r="A81" s="3"/>
      <c r="B81" s="3" t="s">
        <v>103</v>
      </c>
      <c r="C81" s="4">
        <v>45434</v>
      </c>
      <c r="D81" s="3">
        <v>0.5</v>
      </c>
      <c r="E81" s="3">
        <v>0</v>
      </c>
      <c r="F81" s="14">
        <f t="shared" ref="F81:F82" si="18">E81/D81</f>
        <v>0</v>
      </c>
      <c r="G81" s="3">
        <v>0</v>
      </c>
      <c r="H81" s="14">
        <f t="shared" ref="H81:H82" si="19">G81/D81</f>
        <v>0</v>
      </c>
      <c r="I81" s="3">
        <v>0</v>
      </c>
      <c r="J81" s="14">
        <f t="shared" ref="J81:J82" si="20">I81/D81</f>
        <v>0</v>
      </c>
      <c r="K81" s="3">
        <v>0</v>
      </c>
      <c r="L81" s="3"/>
      <c r="M81" s="3"/>
      <c r="N81" s="3"/>
      <c r="O81" s="3"/>
      <c r="P81" s="3" t="s">
        <v>104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2.5" x14ac:dyDescent="0.25">
      <c r="A82" s="3"/>
      <c r="B82" s="3" t="s">
        <v>105</v>
      </c>
      <c r="C82" s="4">
        <v>45434</v>
      </c>
      <c r="D82" s="3">
        <v>0.5</v>
      </c>
      <c r="E82" s="3">
        <v>0</v>
      </c>
      <c r="F82" s="14">
        <f t="shared" si="18"/>
        <v>0</v>
      </c>
      <c r="G82" s="3">
        <v>0</v>
      </c>
      <c r="H82" s="14">
        <f t="shared" si="19"/>
        <v>0</v>
      </c>
      <c r="I82" s="3">
        <v>0</v>
      </c>
      <c r="J82" s="14">
        <f t="shared" si="20"/>
        <v>0</v>
      </c>
      <c r="K82" s="3">
        <v>0</v>
      </c>
      <c r="L82" s="3"/>
      <c r="M82" s="3"/>
      <c r="N82" s="3"/>
      <c r="O82" s="3"/>
      <c r="P82" s="3" t="s">
        <v>104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2.5" x14ac:dyDescent="0.25">
      <c r="A83" s="8" t="s">
        <v>106</v>
      </c>
      <c r="B83" s="8" t="s">
        <v>107</v>
      </c>
      <c r="C83" s="9">
        <v>45428</v>
      </c>
      <c r="D83" s="8"/>
      <c r="E83" s="8"/>
      <c r="F83" s="10"/>
      <c r="G83" s="8"/>
      <c r="H83" s="10"/>
      <c r="I83" s="8"/>
      <c r="J83" s="10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ht="12.5" x14ac:dyDescent="0.25">
      <c r="A84" s="8" t="s">
        <v>106</v>
      </c>
      <c r="B84" s="8" t="s">
        <v>108</v>
      </c>
      <c r="C84" s="9">
        <v>45428</v>
      </c>
      <c r="D84" s="8"/>
      <c r="E84" s="8"/>
      <c r="F84" s="10"/>
      <c r="G84" s="8"/>
      <c r="H84" s="10"/>
      <c r="I84" s="8"/>
      <c r="J84" s="10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ht="12.5" x14ac:dyDescent="0.25">
      <c r="A85" s="8" t="s">
        <v>106</v>
      </c>
      <c r="B85" s="8" t="s">
        <v>109</v>
      </c>
      <c r="C85" s="9">
        <v>45428</v>
      </c>
      <c r="D85" s="8"/>
      <c r="E85" s="8"/>
      <c r="F85" s="10"/>
      <c r="G85" s="8"/>
      <c r="H85" s="10"/>
      <c r="I85" s="8"/>
      <c r="J85" s="10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ht="12.5" x14ac:dyDescent="0.25">
      <c r="A86" s="8" t="s">
        <v>106</v>
      </c>
      <c r="B86" s="8" t="s">
        <v>110</v>
      </c>
      <c r="C86" s="9">
        <v>45428</v>
      </c>
      <c r="D86" s="8"/>
      <c r="E86" s="8"/>
      <c r="F86" s="10"/>
      <c r="G86" s="8"/>
      <c r="H86" s="10"/>
      <c r="I86" s="8"/>
      <c r="J86" s="10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ht="12.5" x14ac:dyDescent="0.25">
      <c r="B87" s="1" t="s">
        <v>111</v>
      </c>
      <c r="C87" s="7">
        <v>45432</v>
      </c>
      <c r="D87" s="1">
        <v>0.44</v>
      </c>
      <c r="E87" s="1">
        <v>0</v>
      </c>
      <c r="F87" s="2">
        <f t="shared" ref="F87:F95" si="21">E87/D87</f>
        <v>0</v>
      </c>
      <c r="G87" s="1">
        <v>0</v>
      </c>
      <c r="H87" s="2">
        <f t="shared" ref="H87:H95" si="22">G87/D87</f>
        <v>0</v>
      </c>
      <c r="I87" s="1">
        <v>0</v>
      </c>
      <c r="J87" s="2">
        <f t="shared" ref="J87:J95" si="23">I87/D87</f>
        <v>0</v>
      </c>
      <c r="K87" s="1">
        <v>0</v>
      </c>
      <c r="L87" s="1">
        <v>1</v>
      </c>
    </row>
    <row r="88" spans="1:29" ht="12.5" x14ac:dyDescent="0.25">
      <c r="B88" s="1" t="s">
        <v>112</v>
      </c>
      <c r="C88" s="7">
        <v>45433</v>
      </c>
      <c r="D88" s="1">
        <v>0.2</v>
      </c>
      <c r="E88" s="1">
        <v>0</v>
      </c>
      <c r="F88" s="2">
        <f t="shared" si="21"/>
        <v>0</v>
      </c>
      <c r="G88" s="1">
        <v>0</v>
      </c>
      <c r="H88" s="2">
        <f t="shared" si="22"/>
        <v>0</v>
      </c>
      <c r="I88" s="1">
        <v>0</v>
      </c>
      <c r="J88" s="2">
        <f t="shared" si="23"/>
        <v>0</v>
      </c>
      <c r="K88" s="1">
        <v>0</v>
      </c>
    </row>
    <row r="89" spans="1:29" ht="12.5" x14ac:dyDescent="0.25">
      <c r="B89" s="1" t="s">
        <v>113</v>
      </c>
      <c r="C89" s="7">
        <v>45429</v>
      </c>
      <c r="D89" s="1">
        <v>1</v>
      </c>
      <c r="E89" s="1">
        <v>0</v>
      </c>
      <c r="F89" s="2">
        <f t="shared" si="21"/>
        <v>0</v>
      </c>
      <c r="G89" s="1">
        <v>0</v>
      </c>
      <c r="H89" s="2">
        <f t="shared" si="22"/>
        <v>0</v>
      </c>
      <c r="I89" s="1">
        <v>0</v>
      </c>
      <c r="J89" s="2">
        <f t="shared" si="23"/>
        <v>0</v>
      </c>
      <c r="K89" s="1">
        <v>0</v>
      </c>
    </row>
    <row r="90" spans="1:29" ht="12.5" x14ac:dyDescent="0.25">
      <c r="B90" s="1" t="s">
        <v>114</v>
      </c>
      <c r="C90" s="7">
        <v>45429</v>
      </c>
      <c r="D90" s="1">
        <v>0.16</v>
      </c>
      <c r="E90" s="1">
        <v>0</v>
      </c>
      <c r="F90" s="2">
        <f t="shared" si="21"/>
        <v>0</v>
      </c>
      <c r="G90" s="1">
        <v>0</v>
      </c>
      <c r="H90" s="2">
        <f t="shared" si="22"/>
        <v>0</v>
      </c>
      <c r="I90" s="1">
        <v>0</v>
      </c>
      <c r="J90" s="2">
        <f t="shared" si="23"/>
        <v>0</v>
      </c>
      <c r="K90" s="1">
        <v>0</v>
      </c>
    </row>
    <row r="91" spans="1:29" ht="12.5" x14ac:dyDescent="0.25">
      <c r="B91" s="1" t="s">
        <v>115</v>
      </c>
      <c r="C91" s="7">
        <v>45429</v>
      </c>
      <c r="D91" s="1">
        <v>1.32</v>
      </c>
      <c r="E91" s="1">
        <v>1400</v>
      </c>
      <c r="F91" s="2">
        <f t="shared" si="21"/>
        <v>1060.6060606060605</v>
      </c>
      <c r="G91" s="1">
        <v>0</v>
      </c>
      <c r="H91" s="2">
        <f t="shared" si="22"/>
        <v>0</v>
      </c>
      <c r="I91" s="1">
        <v>0</v>
      </c>
      <c r="J91" s="2">
        <f t="shared" si="23"/>
        <v>0</v>
      </c>
      <c r="K91" s="1">
        <v>0</v>
      </c>
    </row>
    <row r="92" spans="1:29" ht="12.5" x14ac:dyDescent="0.25">
      <c r="B92" s="1" t="s">
        <v>116</v>
      </c>
      <c r="C92" s="7">
        <v>45433</v>
      </c>
      <c r="D92" s="1">
        <v>0.11</v>
      </c>
      <c r="E92" s="1">
        <v>119</v>
      </c>
      <c r="F92" s="2">
        <f t="shared" si="21"/>
        <v>1081.8181818181818</v>
      </c>
      <c r="G92" s="1">
        <v>0</v>
      </c>
      <c r="H92" s="2">
        <f t="shared" si="22"/>
        <v>0</v>
      </c>
      <c r="I92" s="1">
        <v>0</v>
      </c>
      <c r="J92" s="2">
        <f t="shared" si="23"/>
        <v>0</v>
      </c>
      <c r="K92" s="1">
        <v>0</v>
      </c>
    </row>
    <row r="93" spans="1:29" ht="12.5" x14ac:dyDescent="0.25">
      <c r="B93" s="1" t="s">
        <v>117</v>
      </c>
      <c r="C93" s="7">
        <v>45432</v>
      </c>
      <c r="D93" s="1">
        <v>0.35</v>
      </c>
      <c r="E93" s="1">
        <v>0</v>
      </c>
      <c r="F93" s="2">
        <f t="shared" si="21"/>
        <v>0</v>
      </c>
      <c r="G93" s="1">
        <v>0</v>
      </c>
      <c r="H93" s="2">
        <f t="shared" si="22"/>
        <v>0</v>
      </c>
      <c r="I93" s="1">
        <v>0</v>
      </c>
      <c r="J93" s="2">
        <f t="shared" si="23"/>
        <v>0</v>
      </c>
      <c r="K93" s="1">
        <v>0</v>
      </c>
    </row>
    <row r="94" spans="1:29" ht="12.5" x14ac:dyDescent="0.25">
      <c r="B94" s="1" t="s">
        <v>118</v>
      </c>
      <c r="C94" s="7">
        <v>45432</v>
      </c>
      <c r="D94" s="1">
        <v>1.1499999999999999</v>
      </c>
      <c r="E94" s="1">
        <v>0</v>
      </c>
      <c r="F94" s="2">
        <f t="shared" si="21"/>
        <v>0</v>
      </c>
      <c r="G94" s="1">
        <v>0</v>
      </c>
      <c r="H94" s="2">
        <f t="shared" si="22"/>
        <v>0</v>
      </c>
      <c r="I94" s="1">
        <v>0</v>
      </c>
      <c r="J94" s="2">
        <f t="shared" si="23"/>
        <v>0</v>
      </c>
      <c r="K94" s="1">
        <v>0</v>
      </c>
    </row>
    <row r="95" spans="1:29" ht="12.5" x14ac:dyDescent="0.25">
      <c r="B95" s="1" t="s">
        <v>119</v>
      </c>
      <c r="C95" s="7">
        <v>45432</v>
      </c>
      <c r="D95" s="1">
        <v>1.6</v>
      </c>
      <c r="E95" s="1">
        <v>300</v>
      </c>
      <c r="F95" s="2">
        <f t="shared" si="21"/>
        <v>187.5</v>
      </c>
      <c r="G95" s="1">
        <v>0</v>
      </c>
      <c r="H95" s="2">
        <f t="shared" si="22"/>
        <v>0</v>
      </c>
      <c r="I95" s="1">
        <v>0</v>
      </c>
      <c r="J95" s="2">
        <f t="shared" si="23"/>
        <v>0</v>
      </c>
      <c r="K95" s="1">
        <v>0</v>
      </c>
    </row>
    <row r="96" spans="1:29" ht="12.5" x14ac:dyDescent="0.25">
      <c r="B96" s="1" t="s">
        <v>120</v>
      </c>
      <c r="C96" s="7">
        <v>45429</v>
      </c>
      <c r="D96" s="1">
        <v>0.37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2">
        <v>0</v>
      </c>
      <c r="K96" s="1">
        <v>0</v>
      </c>
    </row>
    <row r="97" spans="2:11" ht="12.5" x14ac:dyDescent="0.25">
      <c r="B97" s="1" t="s">
        <v>121</v>
      </c>
      <c r="C97" s="7">
        <v>45432</v>
      </c>
      <c r="D97" s="1">
        <v>1.83</v>
      </c>
      <c r="E97" s="1">
        <v>0</v>
      </c>
      <c r="F97" s="2">
        <f t="shared" ref="F97:F100" si="24">E97/D97</f>
        <v>0</v>
      </c>
      <c r="G97" s="1">
        <v>0</v>
      </c>
      <c r="H97" s="2">
        <f t="shared" ref="H97:H100" si="25">G97/D97</f>
        <v>0</v>
      </c>
      <c r="I97" s="1">
        <v>0</v>
      </c>
      <c r="J97" s="2">
        <f t="shared" ref="J97:J100" si="26">I97/D97</f>
        <v>0</v>
      </c>
      <c r="K97" s="1">
        <v>0</v>
      </c>
    </row>
    <row r="98" spans="2:11" ht="12.5" x14ac:dyDescent="0.25">
      <c r="B98" s="1" t="s">
        <v>122</v>
      </c>
      <c r="C98" s="7">
        <v>45433</v>
      </c>
      <c r="D98" s="1">
        <v>0.36</v>
      </c>
      <c r="E98" s="1">
        <v>0</v>
      </c>
      <c r="F98" s="2">
        <f t="shared" si="24"/>
        <v>0</v>
      </c>
      <c r="G98" s="1">
        <v>0</v>
      </c>
      <c r="H98" s="2">
        <f t="shared" si="25"/>
        <v>0</v>
      </c>
      <c r="I98" s="1">
        <v>0</v>
      </c>
      <c r="J98" s="2">
        <f t="shared" si="26"/>
        <v>0</v>
      </c>
      <c r="K98" s="1">
        <v>0</v>
      </c>
    </row>
    <row r="99" spans="2:11" ht="12.5" x14ac:dyDescent="0.25">
      <c r="B99" s="1" t="s">
        <v>123</v>
      </c>
      <c r="C99" s="7">
        <v>45432</v>
      </c>
      <c r="D99" s="1">
        <v>0.39</v>
      </c>
      <c r="E99" s="1">
        <v>270</v>
      </c>
      <c r="F99" s="2">
        <f t="shared" si="24"/>
        <v>692.30769230769226</v>
      </c>
      <c r="G99" s="1">
        <v>0</v>
      </c>
      <c r="H99" s="2">
        <f t="shared" si="25"/>
        <v>0</v>
      </c>
      <c r="I99" s="1">
        <v>0</v>
      </c>
      <c r="J99" s="2">
        <f t="shared" si="26"/>
        <v>0</v>
      </c>
      <c r="K99" s="1">
        <v>1</v>
      </c>
    </row>
    <row r="100" spans="2:11" ht="12.5" x14ac:dyDescent="0.25">
      <c r="B100" s="1" t="s">
        <v>124</v>
      </c>
      <c r="C100" s="7">
        <v>45433</v>
      </c>
      <c r="D100" s="1">
        <v>0.46</v>
      </c>
      <c r="E100" s="1">
        <v>0</v>
      </c>
      <c r="F100" s="2">
        <f t="shared" si="24"/>
        <v>0</v>
      </c>
      <c r="G100" s="1">
        <v>0</v>
      </c>
      <c r="H100" s="2">
        <f t="shared" si="25"/>
        <v>0</v>
      </c>
      <c r="I100" s="1">
        <v>0</v>
      </c>
      <c r="J100" s="2">
        <f t="shared" si="26"/>
        <v>0</v>
      </c>
      <c r="K100" s="1">
        <v>0</v>
      </c>
    </row>
    <row r="102" spans="2:11" ht="15.75" customHeight="1" x14ac:dyDescent="0.25">
      <c r="D102">
        <f>COUNTA(D17:D100)</f>
        <v>72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54"/>
  <sheetViews>
    <sheetView workbookViewId="0"/>
  </sheetViews>
  <sheetFormatPr defaultColWidth="12.54296875" defaultRowHeight="15.75" customHeight="1" x14ac:dyDescent="0.25"/>
  <cols>
    <col min="1" max="1" width="14.1796875" customWidth="1"/>
    <col min="9" max="9" width="25.72656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125</v>
      </c>
      <c r="E1" s="1" t="s">
        <v>126</v>
      </c>
      <c r="I1" s="1" t="s">
        <v>127</v>
      </c>
    </row>
    <row r="2" spans="1:26" ht="15.75" customHeight="1" x14ac:dyDescent="0.25">
      <c r="A2" s="8" t="s">
        <v>128</v>
      </c>
      <c r="B2" s="8" t="s">
        <v>129</v>
      </c>
      <c r="C2" s="9"/>
      <c r="D2" s="8"/>
      <c r="E2" s="8"/>
      <c r="F2" s="8"/>
      <c r="G2" s="8"/>
      <c r="H2" s="8"/>
      <c r="I2" s="8"/>
      <c r="M2" s="1"/>
      <c r="S2" s="8"/>
      <c r="T2" s="8"/>
      <c r="U2" s="8"/>
      <c r="V2" s="8"/>
      <c r="W2" s="8"/>
      <c r="X2" s="8"/>
      <c r="Y2" s="8"/>
      <c r="Z2" s="8"/>
    </row>
    <row r="3" spans="1:26" ht="15.75" customHeight="1" x14ac:dyDescent="0.25">
      <c r="A3" s="3">
        <v>12</v>
      </c>
      <c r="B3" s="3" t="s">
        <v>130</v>
      </c>
      <c r="C3" s="4">
        <v>45076</v>
      </c>
      <c r="D3" s="15" t="s">
        <v>131</v>
      </c>
      <c r="E3" s="3"/>
      <c r="F3" s="3"/>
      <c r="G3" s="3"/>
      <c r="H3" s="3"/>
      <c r="I3" s="3" t="s">
        <v>132</v>
      </c>
    </row>
    <row r="4" spans="1:26" ht="15.75" customHeight="1" x14ac:dyDescent="0.25">
      <c r="A4" s="3"/>
      <c r="B4" s="3" t="s">
        <v>133</v>
      </c>
      <c r="C4" s="4">
        <v>45076</v>
      </c>
      <c r="D4" s="15" t="s">
        <v>131</v>
      </c>
      <c r="E4" s="3"/>
      <c r="F4" s="3"/>
      <c r="G4" s="3"/>
      <c r="H4" s="3"/>
      <c r="I4" s="3" t="s">
        <v>132</v>
      </c>
    </row>
    <row r="5" spans="1:26" ht="15.75" customHeight="1" x14ac:dyDescent="0.25">
      <c r="A5" s="3"/>
      <c r="B5" s="3" t="s">
        <v>134</v>
      </c>
      <c r="C5" s="4">
        <v>45076</v>
      </c>
      <c r="D5" s="15" t="s">
        <v>131</v>
      </c>
      <c r="E5" s="6"/>
      <c r="F5" s="3"/>
      <c r="G5" s="3"/>
      <c r="H5" s="3"/>
      <c r="I5" s="3" t="s">
        <v>132</v>
      </c>
      <c r="M5" s="1"/>
    </row>
    <row r="6" spans="1:26" ht="15.75" customHeight="1" x14ac:dyDescent="0.25">
      <c r="A6" s="3"/>
      <c r="B6" s="3" t="s">
        <v>135</v>
      </c>
      <c r="C6" s="4">
        <v>45076</v>
      </c>
      <c r="D6" s="15" t="s">
        <v>131</v>
      </c>
      <c r="E6" s="3"/>
      <c r="F6" s="3"/>
      <c r="G6" s="3"/>
      <c r="H6" s="3"/>
      <c r="I6" s="3" t="s">
        <v>132</v>
      </c>
    </row>
    <row r="7" spans="1:26" ht="15.75" customHeight="1" x14ac:dyDescent="0.25">
      <c r="A7" s="3"/>
      <c r="B7" s="3" t="s">
        <v>136</v>
      </c>
      <c r="C7" s="4">
        <v>45076</v>
      </c>
      <c r="D7" s="15" t="s">
        <v>131</v>
      </c>
      <c r="E7" s="6"/>
      <c r="F7" s="3"/>
      <c r="G7" s="3"/>
      <c r="H7" s="3"/>
      <c r="I7" s="3" t="s">
        <v>132</v>
      </c>
      <c r="K7" s="1"/>
    </row>
    <row r="8" spans="1:26" ht="15.75" customHeight="1" x14ac:dyDescent="0.25">
      <c r="A8" s="3"/>
      <c r="B8" s="3" t="s">
        <v>137</v>
      </c>
      <c r="C8" s="4">
        <v>45076</v>
      </c>
      <c r="D8" s="15" t="s">
        <v>131</v>
      </c>
      <c r="E8" s="3"/>
      <c r="F8" s="3"/>
      <c r="G8" s="3"/>
      <c r="H8" s="3"/>
      <c r="I8" s="3" t="s">
        <v>132</v>
      </c>
      <c r="J8" s="1"/>
      <c r="M8" s="1"/>
    </row>
    <row r="9" spans="1:26" ht="15.75" customHeight="1" x14ac:dyDescent="0.25">
      <c r="A9" s="3"/>
      <c r="B9" s="3" t="s">
        <v>138</v>
      </c>
      <c r="C9" s="4">
        <v>45076</v>
      </c>
      <c r="D9" s="15" t="s">
        <v>131</v>
      </c>
      <c r="E9" s="3"/>
      <c r="F9" s="3"/>
      <c r="G9" s="3"/>
      <c r="H9" s="3"/>
      <c r="I9" s="3" t="s">
        <v>132</v>
      </c>
    </row>
    <row r="10" spans="1:26" ht="15.75" customHeight="1" x14ac:dyDescent="0.25">
      <c r="A10" s="1">
        <v>13</v>
      </c>
      <c r="B10" s="1" t="s">
        <v>139</v>
      </c>
      <c r="C10" s="7">
        <v>45076</v>
      </c>
      <c r="D10" s="16" t="s">
        <v>131</v>
      </c>
      <c r="I10" s="1" t="s">
        <v>132</v>
      </c>
    </row>
    <row r="11" spans="1:26" ht="15.75" customHeight="1" x14ac:dyDescent="0.25">
      <c r="B11" s="1" t="s">
        <v>140</v>
      </c>
      <c r="C11" s="7">
        <v>45076</v>
      </c>
      <c r="D11" s="16" t="s">
        <v>131</v>
      </c>
      <c r="I11" s="1" t="s">
        <v>132</v>
      </c>
    </row>
    <row r="12" spans="1:26" ht="15.75" customHeight="1" x14ac:dyDescent="0.25">
      <c r="B12" s="1" t="s">
        <v>141</v>
      </c>
      <c r="C12" s="7">
        <v>45076</v>
      </c>
      <c r="D12" s="16" t="s">
        <v>131</v>
      </c>
      <c r="I12" s="1" t="s">
        <v>132</v>
      </c>
    </row>
    <row r="13" spans="1:26" ht="15.75" customHeight="1" x14ac:dyDescent="0.45">
      <c r="B13" s="1" t="s">
        <v>142</v>
      </c>
      <c r="C13" s="7">
        <v>45078</v>
      </c>
      <c r="D13" s="16" t="s">
        <v>131</v>
      </c>
      <c r="E13" s="17"/>
      <c r="I13" s="1" t="s">
        <v>132</v>
      </c>
    </row>
    <row r="14" spans="1:26" ht="15.75" customHeight="1" x14ac:dyDescent="0.25">
      <c r="B14" s="1" t="s">
        <v>143</v>
      </c>
      <c r="C14" s="7">
        <v>45078</v>
      </c>
      <c r="D14" s="16" t="s">
        <v>131</v>
      </c>
      <c r="I14" s="1" t="s">
        <v>132</v>
      </c>
    </row>
    <row r="15" spans="1:26" ht="15.75" customHeight="1" x14ac:dyDescent="0.25">
      <c r="B15" s="1" t="s">
        <v>144</v>
      </c>
      <c r="C15" s="7">
        <v>45078</v>
      </c>
      <c r="D15" s="16" t="s">
        <v>131</v>
      </c>
      <c r="I15" s="1" t="s">
        <v>132</v>
      </c>
    </row>
    <row r="16" spans="1:26" ht="15.75" customHeight="1" x14ac:dyDescent="0.25">
      <c r="B16" s="1" t="s">
        <v>145</v>
      </c>
      <c r="C16" s="7">
        <v>45078</v>
      </c>
      <c r="D16" s="16" t="s">
        <v>131</v>
      </c>
      <c r="I16" s="1" t="s">
        <v>132</v>
      </c>
    </row>
    <row r="17" spans="1:9" ht="15.75" customHeight="1" x14ac:dyDescent="0.25">
      <c r="A17" s="3">
        <v>14</v>
      </c>
      <c r="B17" s="3" t="s">
        <v>146</v>
      </c>
      <c r="C17" s="4">
        <v>45078</v>
      </c>
      <c r="D17" s="15" t="s">
        <v>131</v>
      </c>
      <c r="E17" s="3"/>
      <c r="F17" s="3"/>
      <c r="G17" s="3"/>
      <c r="H17" s="3"/>
      <c r="I17" s="3" t="s">
        <v>132</v>
      </c>
    </row>
    <row r="18" spans="1:9" ht="15.75" customHeight="1" x14ac:dyDescent="0.25">
      <c r="A18" s="3"/>
      <c r="B18" s="3" t="s">
        <v>147</v>
      </c>
      <c r="C18" s="4">
        <v>45078</v>
      </c>
      <c r="D18" s="15" t="s">
        <v>131</v>
      </c>
      <c r="E18" s="3"/>
      <c r="F18" s="3"/>
      <c r="G18" s="3"/>
      <c r="H18" s="3"/>
      <c r="I18" s="3" t="s">
        <v>132</v>
      </c>
    </row>
    <row r="19" spans="1:9" ht="15.75" customHeight="1" x14ac:dyDescent="0.25">
      <c r="A19" s="3"/>
      <c r="B19" s="3" t="s">
        <v>148</v>
      </c>
      <c r="C19" s="4">
        <v>45078</v>
      </c>
      <c r="D19" s="15" t="s">
        <v>131</v>
      </c>
      <c r="E19" s="3"/>
      <c r="F19" s="3"/>
      <c r="G19" s="3"/>
      <c r="H19" s="3"/>
      <c r="I19" s="3" t="s">
        <v>132</v>
      </c>
    </row>
    <row r="20" spans="1:9" ht="15.75" customHeight="1" x14ac:dyDescent="0.25">
      <c r="A20" s="3"/>
      <c r="B20" s="3" t="s">
        <v>149</v>
      </c>
      <c r="C20" s="4">
        <v>45090</v>
      </c>
      <c r="D20" s="15" t="s">
        <v>131</v>
      </c>
      <c r="E20" s="3"/>
      <c r="F20" s="3"/>
      <c r="G20" s="3"/>
      <c r="H20" s="3"/>
      <c r="I20" s="3" t="s">
        <v>132</v>
      </c>
    </row>
    <row r="21" spans="1:9" ht="15.75" customHeight="1" x14ac:dyDescent="0.25">
      <c r="A21" s="3"/>
      <c r="B21" s="3" t="s">
        <v>150</v>
      </c>
      <c r="C21" s="4">
        <v>45090</v>
      </c>
      <c r="D21" s="15" t="s">
        <v>131</v>
      </c>
      <c r="E21" s="3"/>
      <c r="F21" s="3"/>
      <c r="G21" s="3"/>
      <c r="H21" s="3"/>
      <c r="I21" s="3" t="s">
        <v>132</v>
      </c>
    </row>
    <row r="22" spans="1:9" ht="15.75" customHeight="1" x14ac:dyDescent="0.25">
      <c r="A22" s="3"/>
      <c r="B22" s="3" t="s">
        <v>151</v>
      </c>
      <c r="C22" s="4">
        <v>45090</v>
      </c>
      <c r="D22" s="15" t="s">
        <v>131</v>
      </c>
      <c r="E22" s="3"/>
      <c r="F22" s="6"/>
      <c r="G22" s="3"/>
      <c r="H22" s="3"/>
      <c r="I22" s="3" t="s">
        <v>132</v>
      </c>
    </row>
    <row r="23" spans="1:9" ht="15.75" customHeight="1" x14ac:dyDescent="0.25">
      <c r="A23" s="3"/>
      <c r="B23" s="3" t="s">
        <v>152</v>
      </c>
      <c r="C23" s="4">
        <v>45090</v>
      </c>
      <c r="D23" s="15" t="s">
        <v>131</v>
      </c>
      <c r="E23" s="3"/>
      <c r="F23" s="3"/>
      <c r="G23" s="3"/>
      <c r="H23" s="3"/>
      <c r="I23" s="3" t="s">
        <v>132</v>
      </c>
    </row>
    <row r="24" spans="1:9" ht="15.75" customHeight="1" x14ac:dyDescent="0.25">
      <c r="A24" s="3"/>
      <c r="B24" s="3" t="s">
        <v>153</v>
      </c>
      <c r="C24" s="4">
        <v>45090</v>
      </c>
      <c r="D24" s="15" t="s">
        <v>131</v>
      </c>
      <c r="E24" s="3"/>
      <c r="F24" s="3"/>
      <c r="G24" s="3"/>
      <c r="H24" s="3"/>
      <c r="I24" s="3" t="s">
        <v>154</v>
      </c>
    </row>
    <row r="25" spans="1:9" ht="15.75" customHeight="1" x14ac:dyDescent="0.25">
      <c r="A25" s="1">
        <v>15</v>
      </c>
      <c r="B25" s="1" t="s">
        <v>155</v>
      </c>
      <c r="C25" s="7">
        <v>45092</v>
      </c>
      <c r="D25" s="16" t="s">
        <v>131</v>
      </c>
      <c r="I25" s="1" t="s">
        <v>132</v>
      </c>
    </row>
    <row r="26" spans="1:9" ht="15.75" customHeight="1" x14ac:dyDescent="0.25">
      <c r="B26" s="1" t="s">
        <v>156</v>
      </c>
      <c r="C26" s="7">
        <v>45092</v>
      </c>
      <c r="D26" s="16" t="s">
        <v>131</v>
      </c>
      <c r="I26" s="1" t="s">
        <v>157</v>
      </c>
    </row>
    <row r="27" spans="1:9" ht="15.75" customHeight="1" x14ac:dyDescent="0.25">
      <c r="B27" s="1" t="s">
        <v>158</v>
      </c>
      <c r="C27" s="7">
        <v>45092</v>
      </c>
      <c r="D27" s="16" t="s">
        <v>131</v>
      </c>
      <c r="I27" s="1" t="s">
        <v>132</v>
      </c>
    </row>
    <row r="28" spans="1:9" ht="15.75" customHeight="1" x14ac:dyDescent="0.25">
      <c r="B28" s="1" t="s">
        <v>159</v>
      </c>
      <c r="C28" s="7">
        <v>45092</v>
      </c>
      <c r="D28" s="16" t="s">
        <v>131</v>
      </c>
      <c r="I28" s="1" t="s">
        <v>132</v>
      </c>
    </row>
    <row r="29" spans="1:9" ht="15.75" customHeight="1" x14ac:dyDescent="0.25">
      <c r="B29" s="1" t="s">
        <v>160</v>
      </c>
      <c r="C29" s="7">
        <v>45092</v>
      </c>
      <c r="D29" s="16" t="s">
        <v>131</v>
      </c>
      <c r="I29" s="1" t="s">
        <v>132</v>
      </c>
    </row>
    <row r="30" spans="1:9" ht="15.75" customHeight="1" x14ac:dyDescent="0.25">
      <c r="B30" s="1" t="s">
        <v>161</v>
      </c>
      <c r="C30" s="7">
        <v>45092</v>
      </c>
      <c r="D30" s="16" t="s">
        <v>131</v>
      </c>
      <c r="I30" s="1" t="s">
        <v>132</v>
      </c>
    </row>
    <row r="31" spans="1:9" ht="15.75" customHeight="1" x14ac:dyDescent="0.25">
      <c r="B31" s="1" t="s">
        <v>162</v>
      </c>
      <c r="C31" s="7">
        <v>45092</v>
      </c>
      <c r="D31" s="16" t="s">
        <v>131</v>
      </c>
    </row>
    <row r="32" spans="1:9" ht="15.75" customHeight="1" x14ac:dyDescent="0.25">
      <c r="A32" s="3">
        <v>17</v>
      </c>
      <c r="B32" s="3" t="s">
        <v>163</v>
      </c>
      <c r="C32" s="3"/>
      <c r="D32" s="15"/>
      <c r="E32" s="3"/>
      <c r="F32" s="3"/>
      <c r="G32" s="3"/>
      <c r="H32" s="3"/>
      <c r="I32" s="3"/>
    </row>
    <row r="33" spans="1:9" ht="15.75" customHeight="1" x14ac:dyDescent="0.25">
      <c r="A33" s="3"/>
      <c r="B33" s="3" t="s">
        <v>164</v>
      </c>
      <c r="C33" s="3"/>
      <c r="D33" s="15"/>
      <c r="E33" s="3"/>
      <c r="F33" s="3"/>
      <c r="G33" s="3"/>
      <c r="H33" s="3"/>
      <c r="I33" s="3"/>
    </row>
    <row r="34" spans="1:9" ht="15.75" customHeight="1" x14ac:dyDescent="0.25">
      <c r="A34" s="3"/>
      <c r="B34" s="3" t="s">
        <v>165</v>
      </c>
      <c r="C34" s="3"/>
      <c r="D34" s="15"/>
      <c r="E34" s="3"/>
      <c r="F34" s="3"/>
      <c r="G34" s="3"/>
      <c r="H34" s="3"/>
      <c r="I34" s="3"/>
    </row>
    <row r="35" spans="1:9" ht="15.75" customHeight="1" x14ac:dyDescent="0.25">
      <c r="A35" s="3"/>
      <c r="B35" s="3" t="s">
        <v>166</v>
      </c>
      <c r="C35" s="3"/>
      <c r="D35" s="15"/>
      <c r="E35" s="3"/>
      <c r="F35" s="3"/>
      <c r="G35" s="3"/>
      <c r="H35" s="3"/>
      <c r="I35" s="3"/>
    </row>
    <row r="36" spans="1:9" ht="15.75" customHeight="1" x14ac:dyDescent="0.25">
      <c r="A36" s="3"/>
      <c r="B36" s="3" t="s">
        <v>167</v>
      </c>
      <c r="C36" s="3"/>
      <c r="D36" s="15"/>
      <c r="E36" s="3"/>
      <c r="F36" s="3"/>
      <c r="G36" s="3"/>
      <c r="H36" s="3"/>
      <c r="I36" s="3"/>
    </row>
    <row r="37" spans="1:9" ht="15.75" customHeight="1" x14ac:dyDescent="0.25">
      <c r="A37" s="3"/>
      <c r="B37" s="3" t="s">
        <v>168</v>
      </c>
      <c r="C37" s="3"/>
      <c r="D37" s="15"/>
      <c r="E37" s="3"/>
      <c r="F37" s="3"/>
      <c r="G37" s="3"/>
      <c r="H37" s="3"/>
      <c r="I37" s="3"/>
    </row>
    <row r="38" spans="1:9" ht="15.75" customHeight="1" x14ac:dyDescent="0.25">
      <c r="A38" s="3"/>
      <c r="B38" s="3" t="s">
        <v>169</v>
      </c>
      <c r="C38" s="3"/>
      <c r="D38" s="15"/>
      <c r="E38" s="3"/>
      <c r="F38" s="3"/>
      <c r="G38" s="3"/>
      <c r="H38" s="3"/>
      <c r="I38" s="3"/>
    </row>
    <row r="39" spans="1:9" ht="15.75" customHeight="1" x14ac:dyDescent="0.25">
      <c r="A39" s="1">
        <v>19</v>
      </c>
      <c r="B39" s="1" t="s">
        <v>170</v>
      </c>
    </row>
    <row r="40" spans="1:9" ht="15.75" customHeight="1" x14ac:dyDescent="0.25">
      <c r="B40" s="1" t="s">
        <v>171</v>
      </c>
    </row>
    <row r="41" spans="1:9" ht="15.75" customHeight="1" x14ac:dyDescent="0.25">
      <c r="B41" s="1" t="s">
        <v>172</v>
      </c>
    </row>
    <row r="42" spans="1:9" ht="15.75" customHeight="1" x14ac:dyDescent="0.25">
      <c r="B42" s="1" t="s">
        <v>173</v>
      </c>
    </row>
    <row r="43" spans="1:9" ht="15.75" customHeight="1" x14ac:dyDescent="0.25">
      <c r="B43" s="1" t="s">
        <v>174</v>
      </c>
    </row>
    <row r="44" spans="1:9" ht="15.75" customHeight="1" x14ac:dyDescent="0.25">
      <c r="B44" s="1" t="s">
        <v>175</v>
      </c>
    </row>
    <row r="45" spans="1:9" ht="15.75" customHeight="1" x14ac:dyDescent="0.25">
      <c r="B45" s="1" t="s">
        <v>176</v>
      </c>
    </row>
    <row r="46" spans="1:9" ht="15.75" customHeight="1" x14ac:dyDescent="0.25">
      <c r="B46" s="1" t="s">
        <v>177</v>
      </c>
    </row>
    <row r="47" spans="1:9" ht="15.75" customHeight="1" x14ac:dyDescent="0.25">
      <c r="A47" s="3"/>
      <c r="B47" s="3" t="s">
        <v>178</v>
      </c>
      <c r="C47" s="3"/>
      <c r="D47" s="3"/>
      <c r="E47" s="3"/>
      <c r="F47" s="3"/>
      <c r="G47" s="3"/>
      <c r="H47" s="3"/>
      <c r="I47" s="3"/>
    </row>
    <row r="48" spans="1:9" ht="15.75" customHeight="1" x14ac:dyDescent="0.25">
      <c r="A48" s="3"/>
      <c r="B48" s="3" t="s">
        <v>179</v>
      </c>
      <c r="C48" s="3"/>
      <c r="D48" s="3"/>
      <c r="E48" s="3"/>
      <c r="F48" s="3"/>
      <c r="G48" s="3"/>
      <c r="H48" s="3"/>
      <c r="I48" s="3"/>
    </row>
    <row r="49" spans="1:9" ht="15.75" customHeight="1" x14ac:dyDescent="0.25">
      <c r="A49" s="3"/>
      <c r="B49" s="3" t="s">
        <v>180</v>
      </c>
      <c r="C49" s="3"/>
      <c r="D49" s="3"/>
      <c r="E49" s="3"/>
      <c r="F49" s="3"/>
      <c r="G49" s="3"/>
      <c r="H49" s="3"/>
      <c r="I49" s="3"/>
    </row>
    <row r="50" spans="1:9" ht="15.75" customHeight="1" x14ac:dyDescent="0.25">
      <c r="A50" s="3"/>
      <c r="B50" s="3" t="s">
        <v>181</v>
      </c>
      <c r="C50" s="3"/>
      <c r="D50" s="3"/>
      <c r="E50" s="3"/>
      <c r="F50" s="3"/>
      <c r="G50" s="3"/>
      <c r="H50" s="3"/>
      <c r="I50" s="3"/>
    </row>
    <row r="51" spans="1:9" ht="15.75" customHeight="1" x14ac:dyDescent="0.25">
      <c r="A51" s="3"/>
      <c r="B51" s="3" t="s">
        <v>182</v>
      </c>
      <c r="C51" s="3"/>
      <c r="D51" s="3"/>
      <c r="E51" s="3"/>
      <c r="F51" s="3"/>
      <c r="G51" s="3"/>
      <c r="H51" s="3"/>
      <c r="I51" s="3"/>
    </row>
    <row r="52" spans="1:9" ht="15.75" customHeight="1" x14ac:dyDescent="0.25">
      <c r="A52" s="3"/>
      <c r="B52" s="3" t="s">
        <v>183</v>
      </c>
      <c r="C52" s="3"/>
      <c r="D52" s="3"/>
      <c r="E52" s="3"/>
      <c r="F52" s="3"/>
      <c r="G52" s="3"/>
      <c r="H52" s="3"/>
      <c r="I52" s="3"/>
    </row>
    <row r="53" spans="1:9" ht="15.75" customHeight="1" x14ac:dyDescent="0.25">
      <c r="A53" s="3"/>
      <c r="B53" s="3" t="s">
        <v>184</v>
      </c>
      <c r="C53" s="3"/>
      <c r="D53" s="3"/>
      <c r="E53" s="3"/>
      <c r="F53" s="3"/>
      <c r="G53" s="3"/>
      <c r="H53" s="3"/>
      <c r="I53" s="3"/>
    </row>
    <row r="54" spans="1:9" ht="15.75" customHeight="1" x14ac:dyDescent="0.25">
      <c r="A54" s="3"/>
      <c r="B54" s="3" t="s">
        <v>185</v>
      </c>
      <c r="C54" s="3"/>
      <c r="D54" s="3"/>
      <c r="E54" s="3"/>
      <c r="F54" s="3"/>
      <c r="G54" s="3"/>
      <c r="H54" s="3"/>
      <c r="I54" s="3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4296875" defaultRowHeight="15.75" customHeight="1" x14ac:dyDescent="0.25"/>
  <sheetData/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B7DC794847724EBEDE2B637FA55C4E" ma:contentTypeVersion="11" ma:contentTypeDescription="Create a new document." ma:contentTypeScope="" ma:versionID="d3c2f8c50c1bac900706c070053b839f">
  <xsd:schema xmlns:xsd="http://www.w3.org/2001/XMLSchema" xmlns:xs="http://www.w3.org/2001/XMLSchema" xmlns:p="http://schemas.microsoft.com/office/2006/metadata/properties" xmlns:ns2="da2888ce-c0a6-4b02-9f38-c032fe16f1ca" xmlns:ns3="9cbaf6e4-181f-4112-943c-fcad52973a29" targetNamespace="http://schemas.microsoft.com/office/2006/metadata/properties" ma:root="true" ma:fieldsID="dac23c81da3c0cc8f0bcfd4e16819edf" ns2:_="" ns3:_="">
    <xsd:import namespace="da2888ce-c0a6-4b02-9f38-c032fe16f1ca"/>
    <xsd:import namespace="9cbaf6e4-181f-4112-943c-fcad52973a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2888ce-c0a6-4b02-9f38-c032fe16f1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5ec2d67-bf2d-4680-93ab-71d0936652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baf6e4-181f-4112-943c-fcad52973a2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21b5f85-c49d-4aa7-98bc-f873e1472451}" ma:internalName="TaxCatchAll" ma:showField="CatchAllData" ma:web="9cbaf6e4-181f-4112-943c-fcad52973a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baf6e4-181f-4112-943c-fcad52973a29" xsi:nil="true"/>
    <lcf76f155ced4ddcb4097134ff3c332f xmlns="da2888ce-c0a6-4b02-9f38-c032fe16f1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A362A4-5C2E-4B46-B136-51B634E823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2888ce-c0a6-4b02-9f38-c032fe16f1ca"/>
    <ds:schemaRef ds:uri="9cbaf6e4-181f-4112-943c-fcad52973a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94839F-8424-43C8-9C01-F7D3398C21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FE0862-6C64-4416-9E25-A4708F5CA9F6}">
  <ds:schemaRefs>
    <ds:schemaRef ds:uri="http://schemas.microsoft.com/office/2006/metadata/properties"/>
    <ds:schemaRef ds:uri="http://schemas.microsoft.com/office/infopath/2007/PartnerControls"/>
    <ds:schemaRef ds:uri="9cbaf6e4-181f-4112-943c-fcad52973a29"/>
    <ds:schemaRef ds:uri="da2888ce-c0a6-4b02-9f38-c032fe16f1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Sugar flotation</vt:lpstr>
      <vt:lpstr>Urine</vt:lpstr>
      <vt:lpstr>Blood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Nguyen, Viet Linh</cp:lastModifiedBy>
  <cp:revision/>
  <dcterms:created xsi:type="dcterms:W3CDTF">2025-08-11T15:31:24Z</dcterms:created>
  <dcterms:modified xsi:type="dcterms:W3CDTF">2025-12-17T13:58:55Z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0x010100ABB7DC794847724EBEDE2B637FA55C4E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